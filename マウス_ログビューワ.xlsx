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to\Desktop\"/>
    </mc:Choice>
  </mc:AlternateContent>
  <xr:revisionPtr revIDLastSave="0" documentId="13_ncr:1_{D5D742BC-15F8-4938-9C0B-E4A67D3DA907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ログ" sheetId="1" r:id="rId1"/>
    <sheet name="経路" sheetId="4" r:id="rId2"/>
  </sheets>
  <definedNames>
    <definedName name="XData">経路!$H$2:INDEX(経路!$H:$H,経路!$G$11)</definedName>
    <definedName name="YData">経路!$I$2:INDEX(経路!$I:$I,経路!$G$11)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3" i="4"/>
  <c r="J2" i="4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2" i="4"/>
  <c r="G5" i="4"/>
  <c r="B78" i="4" s="1"/>
  <c r="B574" i="4" l="1"/>
  <c r="B557" i="4"/>
  <c r="B470" i="4"/>
  <c r="B405" i="4"/>
  <c r="B661" i="4"/>
  <c r="B270" i="4"/>
  <c r="B492" i="4"/>
  <c r="B388" i="4"/>
  <c r="B644" i="4"/>
  <c r="B238" i="4"/>
  <c r="B556" i="4"/>
  <c r="B382" i="4"/>
  <c r="B621" i="4"/>
  <c r="B534" i="4"/>
  <c r="B174" i="4"/>
  <c r="B533" i="4"/>
  <c r="B142" i="4"/>
  <c r="B598" i="4"/>
  <c r="B516" i="4"/>
  <c r="B110" i="4"/>
  <c r="B597" i="4"/>
  <c r="B510" i="4"/>
  <c r="B428" i="4"/>
  <c r="B324" i="4"/>
  <c r="B21" i="4"/>
  <c r="B53" i="4"/>
  <c r="B85" i="4"/>
  <c r="B117" i="4"/>
  <c r="B149" i="4"/>
  <c r="B181" i="4"/>
  <c r="B213" i="4"/>
  <c r="B245" i="4"/>
  <c r="B277" i="4"/>
  <c r="B302" i="4"/>
  <c r="B325" i="4"/>
  <c r="B348" i="4"/>
  <c r="B366" i="4"/>
  <c r="B389" i="4"/>
  <c r="B412" i="4"/>
  <c r="B430" i="4"/>
  <c r="B453" i="4"/>
  <c r="B476" i="4"/>
  <c r="B494" i="4"/>
  <c r="B517" i="4"/>
  <c r="B540" i="4"/>
  <c r="B558" i="4"/>
  <c r="B581" i="4"/>
  <c r="B604" i="4"/>
  <c r="B622" i="4"/>
  <c r="B645" i="4"/>
  <c r="B668" i="4"/>
  <c r="B61" i="4"/>
  <c r="B93" i="4"/>
  <c r="B157" i="4"/>
  <c r="B221" i="4"/>
  <c r="B285" i="4"/>
  <c r="B332" i="4"/>
  <c r="B373" i="4"/>
  <c r="B414" i="4"/>
  <c r="B460" i="4"/>
  <c r="B501" i="4"/>
  <c r="B542" i="4"/>
  <c r="B588" i="4"/>
  <c r="B629" i="4"/>
  <c r="B2" i="4"/>
  <c r="B30" i="4"/>
  <c r="B94" i="4"/>
  <c r="B158" i="4"/>
  <c r="B254" i="4"/>
  <c r="B310" i="4"/>
  <c r="B356" i="4"/>
  <c r="B397" i="4"/>
  <c r="B438" i="4"/>
  <c r="B502" i="4"/>
  <c r="B548" i="4"/>
  <c r="B589" i="4"/>
  <c r="B630" i="4"/>
  <c r="B653" i="4"/>
  <c r="B69" i="4"/>
  <c r="B101" i="4"/>
  <c r="B165" i="4"/>
  <c r="B229" i="4"/>
  <c r="B316" i="4"/>
  <c r="B357" i="4"/>
  <c r="B398" i="4"/>
  <c r="B444" i="4"/>
  <c r="B485" i="4"/>
  <c r="B526" i="4"/>
  <c r="B572" i="4"/>
  <c r="B613" i="4"/>
  <c r="B654" i="4"/>
  <c r="B70" i="4"/>
  <c r="B102" i="4"/>
  <c r="B166" i="4"/>
  <c r="B230" i="4"/>
  <c r="B293" i="4"/>
  <c r="B340" i="4"/>
  <c r="B381" i="4"/>
  <c r="B422" i="4"/>
  <c r="B468" i="4"/>
  <c r="B486" i="4"/>
  <c r="B532" i="4"/>
  <c r="B596" i="4"/>
  <c r="B637" i="4"/>
  <c r="B45" i="4"/>
  <c r="B109" i="4"/>
  <c r="B173" i="4"/>
  <c r="B237" i="4"/>
  <c r="B294" i="4"/>
  <c r="B22" i="4"/>
  <c r="B54" i="4"/>
  <c r="B86" i="4"/>
  <c r="B118" i="4"/>
  <c r="B150" i="4"/>
  <c r="B182" i="4"/>
  <c r="B214" i="4"/>
  <c r="B246" i="4"/>
  <c r="B278" i="4"/>
  <c r="B308" i="4"/>
  <c r="B326" i="4"/>
  <c r="B349" i="4"/>
  <c r="B372" i="4"/>
  <c r="B390" i="4"/>
  <c r="B413" i="4"/>
  <c r="B436" i="4"/>
  <c r="B454" i="4"/>
  <c r="B477" i="4"/>
  <c r="B500" i="4"/>
  <c r="B518" i="4"/>
  <c r="B541" i="4"/>
  <c r="B564" i="4"/>
  <c r="B582" i="4"/>
  <c r="B605" i="4"/>
  <c r="B628" i="4"/>
  <c r="B646" i="4"/>
  <c r="B669" i="4"/>
  <c r="B29" i="4"/>
  <c r="B125" i="4"/>
  <c r="B189" i="4"/>
  <c r="B253" i="4"/>
  <c r="B309" i="4"/>
  <c r="B350" i="4"/>
  <c r="B396" i="4"/>
  <c r="B437" i="4"/>
  <c r="B478" i="4"/>
  <c r="B524" i="4"/>
  <c r="B565" i="4"/>
  <c r="B606" i="4"/>
  <c r="B652" i="4"/>
  <c r="B62" i="4"/>
  <c r="B126" i="4"/>
  <c r="B190" i="4"/>
  <c r="B222" i="4"/>
  <c r="B286" i="4"/>
  <c r="B333" i="4"/>
  <c r="B374" i="4"/>
  <c r="B420" i="4"/>
  <c r="B461" i="4"/>
  <c r="B484" i="4"/>
  <c r="B525" i="4"/>
  <c r="B566" i="4"/>
  <c r="B612" i="4"/>
  <c r="B37" i="4"/>
  <c r="B133" i="4"/>
  <c r="B197" i="4"/>
  <c r="B261" i="4"/>
  <c r="B292" i="4"/>
  <c r="B334" i="4"/>
  <c r="B380" i="4"/>
  <c r="B421" i="4"/>
  <c r="B462" i="4"/>
  <c r="B508" i="4"/>
  <c r="B549" i="4"/>
  <c r="B590" i="4"/>
  <c r="B636" i="4"/>
  <c r="B38" i="4"/>
  <c r="B134" i="4"/>
  <c r="B198" i="4"/>
  <c r="B262" i="4"/>
  <c r="B317" i="4"/>
  <c r="B358" i="4"/>
  <c r="B404" i="4"/>
  <c r="B445" i="4"/>
  <c r="B509" i="4"/>
  <c r="B550" i="4"/>
  <c r="B573" i="4"/>
  <c r="B614" i="4"/>
  <c r="B660" i="4"/>
  <c r="B77" i="4"/>
  <c r="B141" i="4"/>
  <c r="B205" i="4"/>
  <c r="B269" i="4"/>
  <c r="B318" i="4"/>
  <c r="B364" i="4"/>
  <c r="B638" i="4"/>
  <c r="B469" i="4"/>
  <c r="B206" i="4"/>
  <c r="B452" i="4"/>
  <c r="B365" i="4"/>
  <c r="B620" i="4"/>
  <c r="B446" i="4"/>
  <c r="B342" i="4"/>
  <c r="B429" i="4"/>
  <c r="B341" i="4"/>
  <c r="B662" i="4"/>
  <c r="B580" i="4"/>
  <c r="B493" i="4"/>
  <c r="B406" i="4"/>
  <c r="B301" i="4"/>
  <c r="B46" i="4"/>
  <c r="D3" i="4"/>
  <c r="D11" i="4"/>
  <c r="D19" i="4"/>
  <c r="D27" i="4"/>
  <c r="D35" i="4"/>
  <c r="D43" i="4"/>
  <c r="D51" i="4"/>
  <c r="D59" i="4"/>
  <c r="D67" i="4"/>
  <c r="D75" i="4"/>
  <c r="D83" i="4"/>
  <c r="D91" i="4"/>
  <c r="D99" i="4"/>
  <c r="D107" i="4"/>
  <c r="D115" i="4"/>
  <c r="D123" i="4"/>
  <c r="D131" i="4"/>
  <c r="D139" i="4"/>
  <c r="D147" i="4"/>
  <c r="D155" i="4"/>
  <c r="D163" i="4"/>
  <c r="D171" i="4"/>
  <c r="D179" i="4"/>
  <c r="D187" i="4"/>
  <c r="D195" i="4"/>
  <c r="D203" i="4"/>
  <c r="D211" i="4"/>
  <c r="D219" i="4"/>
  <c r="C219" i="4" s="1"/>
  <c r="D227" i="4"/>
  <c r="D235" i="4"/>
  <c r="D243" i="4"/>
  <c r="D251" i="4"/>
  <c r="D259" i="4"/>
  <c r="D267" i="4"/>
  <c r="D275" i="4"/>
  <c r="D283" i="4"/>
  <c r="D291" i="4"/>
  <c r="D299" i="4"/>
  <c r="D307" i="4"/>
  <c r="D315" i="4"/>
  <c r="D323" i="4"/>
  <c r="D331" i="4"/>
  <c r="D339" i="4"/>
  <c r="D347" i="4"/>
  <c r="D355" i="4"/>
  <c r="D363" i="4"/>
  <c r="D371" i="4"/>
  <c r="D379" i="4"/>
  <c r="D387" i="4"/>
  <c r="D395" i="4"/>
  <c r="D403" i="4"/>
  <c r="D411" i="4"/>
  <c r="D419" i="4"/>
  <c r="D427" i="4"/>
  <c r="D435" i="4"/>
  <c r="D443" i="4"/>
  <c r="D451" i="4"/>
  <c r="D459" i="4"/>
  <c r="D467" i="4"/>
  <c r="D475" i="4"/>
  <c r="D483" i="4"/>
  <c r="C483" i="4" s="1"/>
  <c r="D491" i="4"/>
  <c r="D499" i="4"/>
  <c r="D507" i="4"/>
  <c r="D515" i="4"/>
  <c r="D523" i="4"/>
  <c r="D531" i="4"/>
  <c r="D539" i="4"/>
  <c r="D547" i="4"/>
  <c r="D555" i="4"/>
  <c r="D563" i="4"/>
  <c r="D571" i="4"/>
  <c r="D579" i="4"/>
  <c r="D587" i="4"/>
  <c r="D595" i="4"/>
  <c r="D603" i="4"/>
  <c r="D611" i="4"/>
  <c r="D619" i="4"/>
  <c r="D627" i="4"/>
  <c r="D635" i="4"/>
  <c r="D643" i="4"/>
  <c r="D651" i="4"/>
  <c r="D659" i="4"/>
  <c r="D667" i="4"/>
  <c r="B7" i="4"/>
  <c r="D4" i="4"/>
  <c r="D12" i="4"/>
  <c r="D20" i="4"/>
  <c r="D28" i="4"/>
  <c r="D36" i="4"/>
  <c r="D44" i="4"/>
  <c r="D52" i="4"/>
  <c r="D60" i="4"/>
  <c r="D68" i="4"/>
  <c r="D76" i="4"/>
  <c r="D84" i="4"/>
  <c r="D92" i="4"/>
  <c r="D100" i="4"/>
  <c r="D108" i="4"/>
  <c r="D116" i="4"/>
  <c r="D124" i="4"/>
  <c r="D132" i="4"/>
  <c r="D140" i="4"/>
  <c r="D148" i="4"/>
  <c r="D156" i="4"/>
  <c r="D164" i="4"/>
  <c r="D172" i="4"/>
  <c r="D180" i="4"/>
  <c r="D188" i="4"/>
  <c r="D196" i="4"/>
  <c r="D204" i="4"/>
  <c r="D212" i="4"/>
  <c r="D220" i="4"/>
  <c r="D228" i="4"/>
  <c r="D236" i="4"/>
  <c r="D244" i="4"/>
  <c r="D252" i="4"/>
  <c r="D260" i="4"/>
  <c r="D268" i="4"/>
  <c r="D276" i="4"/>
  <c r="D284" i="4"/>
  <c r="D292" i="4"/>
  <c r="D300" i="4"/>
  <c r="D308" i="4"/>
  <c r="D316" i="4"/>
  <c r="D324" i="4"/>
  <c r="D332" i="4"/>
  <c r="D340" i="4"/>
  <c r="D348" i="4"/>
  <c r="D356" i="4"/>
  <c r="D364" i="4"/>
  <c r="D372" i="4"/>
  <c r="D380" i="4"/>
  <c r="D388" i="4"/>
  <c r="D396" i="4"/>
  <c r="D404" i="4"/>
  <c r="D412" i="4"/>
  <c r="D420" i="4"/>
  <c r="D428" i="4"/>
  <c r="D436" i="4"/>
  <c r="D444" i="4"/>
  <c r="D452" i="4"/>
  <c r="D460" i="4"/>
  <c r="D468" i="4"/>
  <c r="D476" i="4"/>
  <c r="D484" i="4"/>
  <c r="D492" i="4"/>
  <c r="D500" i="4"/>
  <c r="D508" i="4"/>
  <c r="D516" i="4"/>
  <c r="D524" i="4"/>
  <c r="D532" i="4"/>
  <c r="D540" i="4"/>
  <c r="D548" i="4"/>
  <c r="D556" i="4"/>
  <c r="D564" i="4"/>
  <c r="D572" i="4"/>
  <c r="D580" i="4"/>
  <c r="D588" i="4"/>
  <c r="D596" i="4"/>
  <c r="D604" i="4"/>
  <c r="D612" i="4"/>
  <c r="D620" i="4"/>
  <c r="D628" i="4"/>
  <c r="D636" i="4"/>
  <c r="D644" i="4"/>
  <c r="D652" i="4"/>
  <c r="D660" i="4"/>
  <c r="D668" i="4"/>
  <c r="B8" i="4"/>
  <c r="D5" i="4"/>
  <c r="D13" i="4"/>
  <c r="C13" i="4" s="1"/>
  <c r="D21" i="4"/>
  <c r="D29" i="4"/>
  <c r="D37" i="4"/>
  <c r="D45" i="4"/>
  <c r="D53" i="4"/>
  <c r="D61" i="4"/>
  <c r="D69" i="4"/>
  <c r="D77" i="4"/>
  <c r="D85" i="4"/>
  <c r="D93" i="4"/>
  <c r="D101" i="4"/>
  <c r="D109" i="4"/>
  <c r="D117" i="4"/>
  <c r="D125" i="4"/>
  <c r="D133" i="4"/>
  <c r="C133" i="4" s="1"/>
  <c r="D141" i="4"/>
  <c r="D149" i="4"/>
  <c r="D157" i="4"/>
  <c r="D165" i="4"/>
  <c r="D173" i="4"/>
  <c r="D181" i="4"/>
  <c r="D189" i="4"/>
  <c r="D197" i="4"/>
  <c r="D205" i="4"/>
  <c r="D213" i="4"/>
  <c r="D221" i="4"/>
  <c r="D229" i="4"/>
  <c r="D237" i="4"/>
  <c r="D245" i="4"/>
  <c r="D253" i="4"/>
  <c r="D261" i="4"/>
  <c r="D269" i="4"/>
  <c r="D277" i="4"/>
  <c r="D285" i="4"/>
  <c r="D293" i="4"/>
  <c r="D301" i="4"/>
  <c r="D309" i="4"/>
  <c r="D317" i="4"/>
  <c r="D325" i="4"/>
  <c r="D333" i="4"/>
  <c r="D341" i="4"/>
  <c r="C341" i="4" s="1"/>
  <c r="D349" i="4"/>
  <c r="D357" i="4"/>
  <c r="D365" i="4"/>
  <c r="D373" i="4"/>
  <c r="D381" i="4"/>
  <c r="D389" i="4"/>
  <c r="D397" i="4"/>
  <c r="D405" i="4"/>
  <c r="D413" i="4"/>
  <c r="D421" i="4"/>
  <c r="D429" i="4"/>
  <c r="D437" i="4"/>
  <c r="D445" i="4"/>
  <c r="D453" i="4"/>
  <c r="D461" i="4"/>
  <c r="D469" i="4"/>
  <c r="D477" i="4"/>
  <c r="D485" i="4"/>
  <c r="D493" i="4"/>
  <c r="D501" i="4"/>
  <c r="D509" i="4"/>
  <c r="D517" i="4"/>
  <c r="C517" i="4" s="1"/>
  <c r="D525" i="4"/>
  <c r="D533" i="4"/>
  <c r="D541" i="4"/>
  <c r="D549" i="4"/>
  <c r="D557" i="4"/>
  <c r="D565" i="4"/>
  <c r="D573" i="4"/>
  <c r="D581" i="4"/>
  <c r="D589" i="4"/>
  <c r="D597" i="4"/>
  <c r="D605" i="4"/>
  <c r="D613" i="4"/>
  <c r="D621" i="4"/>
  <c r="D629" i="4"/>
  <c r="D637" i="4"/>
  <c r="D645" i="4"/>
  <c r="D653" i="4"/>
  <c r="D661" i="4"/>
  <c r="D669" i="4"/>
  <c r="B9" i="4"/>
  <c r="D6" i="4"/>
  <c r="D14" i="4"/>
  <c r="D22" i="4"/>
  <c r="D30" i="4"/>
  <c r="D38" i="4"/>
  <c r="D46" i="4"/>
  <c r="D54" i="4"/>
  <c r="D62" i="4"/>
  <c r="D70" i="4"/>
  <c r="D78" i="4"/>
  <c r="D86" i="4"/>
  <c r="D94" i="4"/>
  <c r="D102" i="4"/>
  <c r="D110" i="4"/>
  <c r="D118" i="4"/>
  <c r="D126" i="4"/>
  <c r="D134" i="4"/>
  <c r="D142" i="4"/>
  <c r="D150" i="4"/>
  <c r="D158" i="4"/>
  <c r="D166" i="4"/>
  <c r="C166" i="4" s="1"/>
  <c r="D174" i="4"/>
  <c r="D182" i="4"/>
  <c r="D190" i="4"/>
  <c r="D198" i="4"/>
  <c r="D206" i="4"/>
  <c r="D214" i="4"/>
  <c r="D222" i="4"/>
  <c r="D230" i="4"/>
  <c r="D238" i="4"/>
  <c r="D246" i="4"/>
  <c r="D254" i="4"/>
  <c r="D262" i="4"/>
  <c r="D270" i="4"/>
  <c r="D278" i="4"/>
  <c r="D286" i="4"/>
  <c r="D294" i="4"/>
  <c r="D302" i="4"/>
  <c r="D310" i="4"/>
  <c r="D318" i="4"/>
  <c r="D326" i="4"/>
  <c r="D334" i="4"/>
  <c r="D342" i="4"/>
  <c r="D350" i="4"/>
  <c r="D358" i="4"/>
  <c r="D366" i="4"/>
  <c r="D374" i="4"/>
  <c r="D382" i="4"/>
  <c r="D390" i="4"/>
  <c r="D398" i="4"/>
  <c r="D406" i="4"/>
  <c r="D414" i="4"/>
  <c r="C414" i="4" s="1"/>
  <c r="D422" i="4"/>
  <c r="D430" i="4"/>
  <c r="D438" i="4"/>
  <c r="D446" i="4"/>
  <c r="D454" i="4"/>
  <c r="D462" i="4"/>
  <c r="D470" i="4"/>
  <c r="D478" i="4"/>
  <c r="D486" i="4"/>
  <c r="D494" i="4"/>
  <c r="D502" i="4"/>
  <c r="D510" i="4"/>
  <c r="D518" i="4"/>
  <c r="D526" i="4"/>
  <c r="D534" i="4"/>
  <c r="D542" i="4"/>
  <c r="D550" i="4"/>
  <c r="D558" i="4"/>
  <c r="D566" i="4"/>
  <c r="D574" i="4"/>
  <c r="D582" i="4"/>
  <c r="D590" i="4"/>
  <c r="D598" i="4"/>
  <c r="D606" i="4"/>
  <c r="D614" i="4"/>
  <c r="D622" i="4"/>
  <c r="D630" i="4"/>
  <c r="D638" i="4"/>
  <c r="D646" i="4"/>
  <c r="D654" i="4"/>
  <c r="C654" i="4" s="1"/>
  <c r="D662" i="4"/>
  <c r="D2" i="4"/>
  <c r="B10" i="4"/>
  <c r="D7" i="4"/>
  <c r="D15" i="4"/>
  <c r="D23" i="4"/>
  <c r="D31" i="4"/>
  <c r="D39" i="4"/>
  <c r="D47" i="4"/>
  <c r="D55" i="4"/>
  <c r="D63" i="4"/>
  <c r="D71" i="4"/>
  <c r="D79" i="4"/>
  <c r="D87" i="4"/>
  <c r="D95" i="4"/>
  <c r="D103" i="4"/>
  <c r="D111" i="4"/>
  <c r="D119" i="4"/>
  <c r="D127" i="4"/>
  <c r="D135" i="4"/>
  <c r="D143" i="4"/>
  <c r="D151" i="4"/>
  <c r="D159" i="4"/>
  <c r="D167" i="4"/>
  <c r="D175" i="4"/>
  <c r="D183" i="4"/>
  <c r="D191" i="4"/>
  <c r="D199" i="4"/>
  <c r="D207" i="4"/>
  <c r="D215" i="4"/>
  <c r="D223" i="4"/>
  <c r="D231" i="4"/>
  <c r="D239" i="4"/>
  <c r="D247" i="4"/>
  <c r="D255" i="4"/>
  <c r="D263" i="4"/>
  <c r="D271" i="4"/>
  <c r="D279" i="4"/>
  <c r="D287" i="4"/>
  <c r="D295" i="4"/>
  <c r="D303" i="4"/>
  <c r="D311" i="4"/>
  <c r="D319" i="4"/>
  <c r="D327" i="4"/>
  <c r="D335" i="4"/>
  <c r="D343" i="4"/>
  <c r="D351" i="4"/>
  <c r="D359" i="4"/>
  <c r="D367" i="4"/>
  <c r="C367" i="4" s="1"/>
  <c r="D375" i="4"/>
  <c r="D383" i="4"/>
  <c r="D391" i="4"/>
  <c r="D399" i="4"/>
  <c r="D407" i="4"/>
  <c r="D415" i="4"/>
  <c r="D423" i="4"/>
  <c r="D431" i="4"/>
  <c r="D439" i="4"/>
  <c r="D447" i="4"/>
  <c r="D455" i="4"/>
  <c r="D463" i="4"/>
  <c r="D471" i="4"/>
  <c r="D479" i="4"/>
  <c r="D487" i="4"/>
  <c r="D495" i="4"/>
  <c r="D503" i="4"/>
  <c r="D511" i="4"/>
  <c r="D519" i="4"/>
  <c r="D527" i="4"/>
  <c r="D535" i="4"/>
  <c r="D543" i="4"/>
  <c r="D551" i="4"/>
  <c r="D559" i="4"/>
  <c r="D567" i="4"/>
  <c r="D575" i="4"/>
  <c r="D583" i="4"/>
  <c r="D591" i="4"/>
  <c r="D599" i="4"/>
  <c r="D607" i="4"/>
  <c r="D615" i="4"/>
  <c r="D623" i="4"/>
  <c r="D631" i="4"/>
  <c r="D639" i="4"/>
  <c r="D647" i="4"/>
  <c r="D655" i="4"/>
  <c r="D663" i="4"/>
  <c r="B3" i="4"/>
  <c r="B11" i="4"/>
  <c r="D8" i="4"/>
  <c r="D16" i="4"/>
  <c r="C16" i="4" s="1"/>
  <c r="D24" i="4"/>
  <c r="D32" i="4"/>
  <c r="D40" i="4"/>
  <c r="D48" i="4"/>
  <c r="D56" i="4"/>
  <c r="D64" i="4"/>
  <c r="D72" i="4"/>
  <c r="D80" i="4"/>
  <c r="D88" i="4"/>
  <c r="D96" i="4"/>
  <c r="D104" i="4"/>
  <c r="D112" i="4"/>
  <c r="D120" i="4"/>
  <c r="D128" i="4"/>
  <c r="D136" i="4"/>
  <c r="D144" i="4"/>
  <c r="D152" i="4"/>
  <c r="D160" i="4"/>
  <c r="D168" i="4"/>
  <c r="D176" i="4"/>
  <c r="D184" i="4"/>
  <c r="D192" i="4"/>
  <c r="D200" i="4"/>
  <c r="D208" i="4"/>
  <c r="D216" i="4"/>
  <c r="D224" i="4"/>
  <c r="D232" i="4"/>
  <c r="D240" i="4"/>
  <c r="D248" i="4"/>
  <c r="D256" i="4"/>
  <c r="D264" i="4"/>
  <c r="D272" i="4"/>
  <c r="D280" i="4"/>
  <c r="D288" i="4"/>
  <c r="D296" i="4"/>
  <c r="D304" i="4"/>
  <c r="D312" i="4"/>
  <c r="D320" i="4"/>
  <c r="D328" i="4"/>
  <c r="D336" i="4"/>
  <c r="D344" i="4"/>
  <c r="D352" i="4"/>
  <c r="D360" i="4"/>
  <c r="D368" i="4"/>
  <c r="D376" i="4"/>
  <c r="D384" i="4"/>
  <c r="D392" i="4"/>
  <c r="D400" i="4"/>
  <c r="D408" i="4"/>
  <c r="D416" i="4"/>
  <c r="D424" i="4"/>
  <c r="D432" i="4"/>
  <c r="D440" i="4"/>
  <c r="D448" i="4"/>
  <c r="D456" i="4"/>
  <c r="D464" i="4"/>
  <c r="D472" i="4"/>
  <c r="D480" i="4"/>
  <c r="D488" i="4"/>
  <c r="D496" i="4"/>
  <c r="D504" i="4"/>
  <c r="D512" i="4"/>
  <c r="D520" i="4"/>
  <c r="D528" i="4"/>
  <c r="D536" i="4"/>
  <c r="D544" i="4"/>
  <c r="D552" i="4"/>
  <c r="D560" i="4"/>
  <c r="D568" i="4"/>
  <c r="D576" i="4"/>
  <c r="D584" i="4"/>
  <c r="D592" i="4"/>
  <c r="D600" i="4"/>
  <c r="D608" i="4"/>
  <c r="D616" i="4"/>
  <c r="D624" i="4"/>
  <c r="D632" i="4"/>
  <c r="D640" i="4"/>
  <c r="D648" i="4"/>
  <c r="D656" i="4"/>
  <c r="D664" i="4"/>
  <c r="B4" i="4"/>
  <c r="B12" i="4"/>
  <c r="D9" i="4"/>
  <c r="D17" i="4"/>
  <c r="D25" i="4"/>
  <c r="D33" i="4"/>
  <c r="D41" i="4"/>
  <c r="D49" i="4"/>
  <c r="D57" i="4"/>
  <c r="D65" i="4"/>
  <c r="D73" i="4"/>
  <c r="D81" i="4"/>
  <c r="D89" i="4"/>
  <c r="D97" i="4"/>
  <c r="D105" i="4"/>
  <c r="D113" i="4"/>
  <c r="D121" i="4"/>
  <c r="D129" i="4"/>
  <c r="D137" i="4"/>
  <c r="D145" i="4"/>
  <c r="D153" i="4"/>
  <c r="D161" i="4"/>
  <c r="D169" i="4"/>
  <c r="D177" i="4"/>
  <c r="D185" i="4"/>
  <c r="D193" i="4"/>
  <c r="D201" i="4"/>
  <c r="D209" i="4"/>
  <c r="D217" i="4"/>
  <c r="D225" i="4"/>
  <c r="D233" i="4"/>
  <c r="D241" i="4"/>
  <c r="D249" i="4"/>
  <c r="D257" i="4"/>
  <c r="D265" i="4"/>
  <c r="D273" i="4"/>
  <c r="D281" i="4"/>
  <c r="D289" i="4"/>
  <c r="D297" i="4"/>
  <c r="D305" i="4"/>
  <c r="D313" i="4"/>
  <c r="D321" i="4"/>
  <c r="D329" i="4"/>
  <c r="D337" i="4"/>
  <c r="D345" i="4"/>
  <c r="D353" i="4"/>
  <c r="D361" i="4"/>
  <c r="D369" i="4"/>
  <c r="D377" i="4"/>
  <c r="D385" i="4"/>
  <c r="D393" i="4"/>
  <c r="D401" i="4"/>
  <c r="D409" i="4"/>
  <c r="D417" i="4"/>
  <c r="D425" i="4"/>
  <c r="D433" i="4"/>
  <c r="D441" i="4"/>
  <c r="D449" i="4"/>
  <c r="D457" i="4"/>
  <c r="D465" i="4"/>
  <c r="D473" i="4"/>
  <c r="D481" i="4"/>
  <c r="D489" i="4"/>
  <c r="D497" i="4"/>
  <c r="D505" i="4"/>
  <c r="D513" i="4"/>
  <c r="D521" i="4"/>
  <c r="D529" i="4"/>
  <c r="D537" i="4"/>
  <c r="D545" i="4"/>
  <c r="D553" i="4"/>
  <c r="D561" i="4"/>
  <c r="D569" i="4"/>
  <c r="D577" i="4"/>
  <c r="D585" i="4"/>
  <c r="D593" i="4"/>
  <c r="D601" i="4"/>
  <c r="D609" i="4"/>
  <c r="D617" i="4"/>
  <c r="D625" i="4"/>
  <c r="D633" i="4"/>
  <c r="D641" i="4"/>
  <c r="D649" i="4"/>
  <c r="D657" i="4"/>
  <c r="D665" i="4"/>
  <c r="B5" i="4"/>
  <c r="B13" i="4"/>
  <c r="D10" i="4"/>
  <c r="D18" i="4"/>
  <c r="D26" i="4"/>
  <c r="D34" i="4"/>
  <c r="D42" i="4"/>
  <c r="D50" i="4"/>
  <c r="D58" i="4"/>
  <c r="D66" i="4"/>
  <c r="D74" i="4"/>
  <c r="D82" i="4"/>
  <c r="D90" i="4"/>
  <c r="D98" i="4"/>
  <c r="D106" i="4"/>
  <c r="D114" i="4"/>
  <c r="D122" i="4"/>
  <c r="D130" i="4"/>
  <c r="D138" i="4"/>
  <c r="D146" i="4"/>
  <c r="D154" i="4"/>
  <c r="D162" i="4"/>
  <c r="D170" i="4"/>
  <c r="D178" i="4"/>
  <c r="D186" i="4"/>
  <c r="D194" i="4"/>
  <c r="D202" i="4"/>
  <c r="D210" i="4"/>
  <c r="D218" i="4"/>
  <c r="D226" i="4"/>
  <c r="D234" i="4"/>
  <c r="D242" i="4"/>
  <c r="D250" i="4"/>
  <c r="D258" i="4"/>
  <c r="D266" i="4"/>
  <c r="D274" i="4"/>
  <c r="D282" i="4"/>
  <c r="D290" i="4"/>
  <c r="D298" i="4"/>
  <c r="D306" i="4"/>
  <c r="D314" i="4"/>
  <c r="D322" i="4"/>
  <c r="D330" i="4"/>
  <c r="C330" i="4" s="1"/>
  <c r="D338" i="4"/>
  <c r="D346" i="4"/>
  <c r="D354" i="4"/>
  <c r="D362" i="4"/>
  <c r="D370" i="4"/>
  <c r="D378" i="4"/>
  <c r="D386" i="4"/>
  <c r="D394" i="4"/>
  <c r="D402" i="4"/>
  <c r="D410" i="4"/>
  <c r="D418" i="4"/>
  <c r="D426" i="4"/>
  <c r="D434" i="4"/>
  <c r="D442" i="4"/>
  <c r="D450" i="4"/>
  <c r="D458" i="4"/>
  <c r="D466" i="4"/>
  <c r="D474" i="4"/>
  <c r="D482" i="4"/>
  <c r="D490" i="4"/>
  <c r="D498" i="4"/>
  <c r="D506" i="4"/>
  <c r="D514" i="4"/>
  <c r="D522" i="4"/>
  <c r="D530" i="4"/>
  <c r="D538" i="4"/>
  <c r="D546" i="4"/>
  <c r="D554" i="4"/>
  <c r="D562" i="4"/>
  <c r="D570" i="4"/>
  <c r="D578" i="4"/>
  <c r="D586" i="4"/>
  <c r="D594" i="4"/>
  <c r="D602" i="4"/>
  <c r="D610" i="4"/>
  <c r="D618" i="4"/>
  <c r="D626" i="4"/>
  <c r="D634" i="4"/>
  <c r="D642" i="4"/>
  <c r="D650" i="4"/>
  <c r="D658" i="4"/>
  <c r="D666" i="4"/>
  <c r="B6" i="4"/>
  <c r="B14" i="4"/>
  <c r="B659" i="4"/>
  <c r="B643" i="4"/>
  <c r="B627" i="4"/>
  <c r="B611" i="4"/>
  <c r="B595" i="4"/>
  <c r="B579" i="4"/>
  <c r="B563" i="4"/>
  <c r="C563" i="4" s="1"/>
  <c r="B539" i="4"/>
  <c r="B523" i="4"/>
  <c r="B507" i="4"/>
  <c r="B491" i="4"/>
  <c r="B475" i="4"/>
  <c r="B459" i="4"/>
  <c r="B443" i="4"/>
  <c r="B427" i="4"/>
  <c r="B403" i="4"/>
  <c r="B371" i="4"/>
  <c r="B355" i="4"/>
  <c r="B347" i="4"/>
  <c r="B331" i="4"/>
  <c r="B315" i="4"/>
  <c r="B299" i="4"/>
  <c r="B283" i="4"/>
  <c r="B267" i="4"/>
  <c r="B251" i="4"/>
  <c r="B235" i="4"/>
  <c r="B219" i="4"/>
  <c r="B203" i="4"/>
  <c r="B195" i="4"/>
  <c r="B179" i="4"/>
  <c r="B163" i="4"/>
  <c r="B155" i="4"/>
  <c r="B139" i="4"/>
  <c r="B123" i="4"/>
  <c r="B107" i="4"/>
  <c r="B91" i="4"/>
  <c r="B75" i="4"/>
  <c r="B59" i="4"/>
  <c r="B43" i="4"/>
  <c r="B27" i="4"/>
  <c r="B666" i="4"/>
  <c r="B650" i="4"/>
  <c r="B634" i="4"/>
  <c r="B618" i="4"/>
  <c r="B602" i="4"/>
  <c r="B586" i="4"/>
  <c r="B570" i="4"/>
  <c r="B554" i="4"/>
  <c r="B538" i="4"/>
  <c r="B522" i="4"/>
  <c r="B498" i="4"/>
  <c r="B474" i="4"/>
  <c r="B450" i="4"/>
  <c r="B434" i="4"/>
  <c r="B410" i="4"/>
  <c r="B378" i="4"/>
  <c r="B354" i="4"/>
  <c r="B330" i="4"/>
  <c r="B306" i="4"/>
  <c r="B282" i="4"/>
  <c r="B250" i="4"/>
  <c r="B218" i="4"/>
  <c r="B194" i="4"/>
  <c r="B170" i="4"/>
  <c r="B146" i="4"/>
  <c r="B122" i="4"/>
  <c r="C122" i="4" s="1"/>
  <c r="B98" i="4"/>
  <c r="B74" i="4"/>
  <c r="B34" i="4"/>
  <c r="B665" i="4"/>
  <c r="B657" i="4"/>
  <c r="B649" i="4"/>
  <c r="B641" i="4"/>
  <c r="B633" i="4"/>
  <c r="B625" i="4"/>
  <c r="B617" i="4"/>
  <c r="B609" i="4"/>
  <c r="B601" i="4"/>
  <c r="B593" i="4"/>
  <c r="B585" i="4"/>
  <c r="B577" i="4"/>
  <c r="B569" i="4"/>
  <c r="B561" i="4"/>
  <c r="B553" i="4"/>
  <c r="B545" i="4"/>
  <c r="B537" i="4"/>
  <c r="B529" i="4"/>
  <c r="B521" i="4"/>
  <c r="B513" i="4"/>
  <c r="B505" i="4"/>
  <c r="B497" i="4"/>
  <c r="B489" i="4"/>
  <c r="B481" i="4"/>
  <c r="B473" i="4"/>
  <c r="B465" i="4"/>
  <c r="B457" i="4"/>
  <c r="B449" i="4"/>
  <c r="B441" i="4"/>
  <c r="B433" i="4"/>
  <c r="B425" i="4"/>
  <c r="B417" i="4"/>
  <c r="B409" i="4"/>
  <c r="B401" i="4"/>
  <c r="B393" i="4"/>
  <c r="B385" i="4"/>
  <c r="B377" i="4"/>
  <c r="B369" i="4"/>
  <c r="B361" i="4"/>
  <c r="B353" i="4"/>
  <c r="B345" i="4"/>
  <c r="B337" i="4"/>
  <c r="B329" i="4"/>
  <c r="B321" i="4"/>
  <c r="B313" i="4"/>
  <c r="B305" i="4"/>
  <c r="B297" i="4"/>
  <c r="B289" i="4"/>
  <c r="B281" i="4"/>
  <c r="B273" i="4"/>
  <c r="B265" i="4"/>
  <c r="B257" i="4"/>
  <c r="B249" i="4"/>
  <c r="B241" i="4"/>
  <c r="B233" i="4"/>
  <c r="B225" i="4"/>
  <c r="B217" i="4"/>
  <c r="B209" i="4"/>
  <c r="B201" i="4"/>
  <c r="B193" i="4"/>
  <c r="B185" i="4"/>
  <c r="B177" i="4"/>
  <c r="B169" i="4"/>
  <c r="B161" i="4"/>
  <c r="B153" i="4"/>
  <c r="B145" i="4"/>
  <c r="B137" i="4"/>
  <c r="B129" i="4"/>
  <c r="B121" i="4"/>
  <c r="B113" i="4"/>
  <c r="B105" i="4"/>
  <c r="B97" i="4"/>
  <c r="C97" i="4" s="1"/>
  <c r="B89" i="4"/>
  <c r="B81" i="4"/>
  <c r="B73" i="4"/>
  <c r="B65" i="4"/>
  <c r="B57" i="4"/>
  <c r="B49" i="4"/>
  <c r="B41" i="4"/>
  <c r="B33" i="4"/>
  <c r="B25" i="4"/>
  <c r="B17" i="4"/>
  <c r="B276" i="4"/>
  <c r="B260" i="4"/>
  <c r="B236" i="4"/>
  <c r="B220" i="4"/>
  <c r="B204" i="4"/>
  <c r="B196" i="4"/>
  <c r="B180" i="4"/>
  <c r="B164" i="4"/>
  <c r="B156" i="4"/>
  <c r="B132" i="4"/>
  <c r="B116" i="4"/>
  <c r="B100" i="4"/>
  <c r="B84" i="4"/>
  <c r="B60" i="4"/>
  <c r="B44" i="4"/>
  <c r="B20" i="4"/>
  <c r="B667" i="4"/>
  <c r="B651" i="4"/>
  <c r="B635" i="4"/>
  <c r="B619" i="4"/>
  <c r="B603" i="4"/>
  <c r="B587" i="4"/>
  <c r="C587" i="4" s="1"/>
  <c r="B571" i="4"/>
  <c r="B547" i="4"/>
  <c r="B531" i="4"/>
  <c r="B515" i="4"/>
  <c r="B499" i="4"/>
  <c r="B483" i="4"/>
  <c r="B467" i="4"/>
  <c r="B451" i="4"/>
  <c r="B435" i="4"/>
  <c r="B419" i="4"/>
  <c r="B411" i="4"/>
  <c r="B395" i="4"/>
  <c r="B387" i="4"/>
  <c r="B379" i="4"/>
  <c r="B363" i="4"/>
  <c r="B339" i="4"/>
  <c r="B323" i="4"/>
  <c r="B307" i="4"/>
  <c r="B291" i="4"/>
  <c r="B275" i="4"/>
  <c r="B259" i="4"/>
  <c r="B243" i="4"/>
  <c r="B227" i="4"/>
  <c r="B211" i="4"/>
  <c r="C211" i="4" s="1"/>
  <c r="B187" i="4"/>
  <c r="B171" i="4"/>
  <c r="B147" i="4"/>
  <c r="B131" i="4"/>
  <c r="B115" i="4"/>
  <c r="B99" i="4"/>
  <c r="B83" i="4"/>
  <c r="C83" i="4" s="1"/>
  <c r="B67" i="4"/>
  <c r="B51" i="4"/>
  <c r="B35" i="4"/>
  <c r="B19" i="4"/>
  <c r="B658" i="4"/>
  <c r="B642" i="4"/>
  <c r="B626" i="4"/>
  <c r="B610" i="4"/>
  <c r="B594" i="4"/>
  <c r="B578" i="4"/>
  <c r="B562" i="4"/>
  <c r="B546" i="4"/>
  <c r="B530" i="4"/>
  <c r="B514" i="4"/>
  <c r="B506" i="4"/>
  <c r="B490" i="4"/>
  <c r="B458" i="4"/>
  <c r="B426" i="4"/>
  <c r="B394" i="4"/>
  <c r="B370" i="4"/>
  <c r="B346" i="4"/>
  <c r="B322" i="4"/>
  <c r="B290" i="4"/>
  <c r="B266" i="4"/>
  <c r="B242" i="4"/>
  <c r="B226" i="4"/>
  <c r="B202" i="4"/>
  <c r="B178" i="4"/>
  <c r="B154" i="4"/>
  <c r="B130" i="4"/>
  <c r="B106" i="4"/>
  <c r="B90" i="4"/>
  <c r="B66" i="4"/>
  <c r="B50" i="4"/>
  <c r="B26" i="4"/>
  <c r="B664" i="4"/>
  <c r="B656" i="4"/>
  <c r="B648" i="4"/>
  <c r="B640" i="4"/>
  <c r="B632" i="4"/>
  <c r="B624" i="4"/>
  <c r="B616" i="4"/>
  <c r="B608" i="4"/>
  <c r="B600" i="4"/>
  <c r="B592" i="4"/>
  <c r="B584" i="4"/>
  <c r="B576" i="4"/>
  <c r="B568" i="4"/>
  <c r="B560" i="4"/>
  <c r="B552" i="4"/>
  <c r="B544" i="4"/>
  <c r="B536" i="4"/>
  <c r="B528" i="4"/>
  <c r="B520" i="4"/>
  <c r="B512" i="4"/>
  <c r="B504" i="4"/>
  <c r="B496" i="4"/>
  <c r="B488" i="4"/>
  <c r="B480" i="4"/>
  <c r="B472" i="4"/>
  <c r="B464" i="4"/>
  <c r="B456" i="4"/>
  <c r="B448" i="4"/>
  <c r="B440" i="4"/>
  <c r="B432" i="4"/>
  <c r="B424" i="4"/>
  <c r="B416" i="4"/>
  <c r="B408" i="4"/>
  <c r="B400" i="4"/>
  <c r="B392" i="4"/>
  <c r="B384" i="4"/>
  <c r="B376" i="4"/>
  <c r="B368" i="4"/>
  <c r="B360" i="4"/>
  <c r="B352" i="4"/>
  <c r="B344" i="4"/>
  <c r="B336" i="4"/>
  <c r="B328" i="4"/>
  <c r="C328" i="4" s="1"/>
  <c r="B320" i="4"/>
  <c r="B312" i="4"/>
  <c r="B304" i="4"/>
  <c r="B296" i="4"/>
  <c r="B288" i="4"/>
  <c r="B280" i="4"/>
  <c r="B272" i="4"/>
  <c r="B264" i="4"/>
  <c r="B256" i="4"/>
  <c r="B248" i="4"/>
  <c r="B240" i="4"/>
  <c r="B232" i="4"/>
  <c r="B224" i="4"/>
  <c r="B216" i="4"/>
  <c r="B208" i="4"/>
  <c r="B200" i="4"/>
  <c r="B192" i="4"/>
  <c r="C192" i="4" s="1"/>
  <c r="B184" i="4"/>
  <c r="B176" i="4"/>
  <c r="B168" i="4"/>
  <c r="C168" i="4" s="1"/>
  <c r="B160" i="4"/>
  <c r="B152" i="4"/>
  <c r="B144" i="4"/>
  <c r="B136" i="4"/>
  <c r="B128" i="4"/>
  <c r="B120" i="4"/>
  <c r="B112" i="4"/>
  <c r="B104" i="4"/>
  <c r="B96" i="4"/>
  <c r="B88" i="4"/>
  <c r="B80" i="4"/>
  <c r="B72" i="4"/>
  <c r="C72" i="4" s="1"/>
  <c r="B64" i="4"/>
  <c r="B56" i="4"/>
  <c r="B48" i="4"/>
  <c r="B40" i="4"/>
  <c r="B32" i="4"/>
  <c r="B24" i="4"/>
  <c r="B16" i="4"/>
  <c r="B300" i="4"/>
  <c r="B284" i="4"/>
  <c r="B268" i="4"/>
  <c r="B252" i="4"/>
  <c r="B244" i="4"/>
  <c r="B228" i="4"/>
  <c r="B212" i="4"/>
  <c r="B188" i="4"/>
  <c r="B172" i="4"/>
  <c r="B148" i="4"/>
  <c r="B140" i="4"/>
  <c r="B124" i="4"/>
  <c r="B108" i="4"/>
  <c r="B92" i="4"/>
  <c r="B76" i="4"/>
  <c r="B68" i="4"/>
  <c r="B52" i="4"/>
  <c r="B36" i="4"/>
  <c r="B28" i="4"/>
  <c r="B555" i="4"/>
  <c r="B482" i="4"/>
  <c r="B466" i="4"/>
  <c r="B442" i="4"/>
  <c r="B418" i="4"/>
  <c r="B402" i="4"/>
  <c r="B386" i="4"/>
  <c r="B362" i="4"/>
  <c r="B338" i="4"/>
  <c r="B314" i="4"/>
  <c r="B298" i="4"/>
  <c r="B274" i="4"/>
  <c r="B258" i="4"/>
  <c r="B234" i="4"/>
  <c r="B210" i="4"/>
  <c r="B186" i="4"/>
  <c r="B162" i="4"/>
  <c r="B138" i="4"/>
  <c r="B114" i="4"/>
  <c r="B82" i="4"/>
  <c r="B58" i="4"/>
  <c r="B42" i="4"/>
  <c r="B18" i="4"/>
  <c r="B663" i="4"/>
  <c r="B655" i="4"/>
  <c r="B647" i="4"/>
  <c r="B639" i="4"/>
  <c r="B631" i="4"/>
  <c r="B623" i="4"/>
  <c r="B615" i="4"/>
  <c r="B607" i="4"/>
  <c r="B599" i="4"/>
  <c r="B591" i="4"/>
  <c r="B583" i="4"/>
  <c r="B575" i="4"/>
  <c r="B567" i="4"/>
  <c r="B559" i="4"/>
  <c r="B551" i="4"/>
  <c r="B543" i="4"/>
  <c r="B535" i="4"/>
  <c r="B527" i="4"/>
  <c r="B519" i="4"/>
  <c r="B511" i="4"/>
  <c r="B503" i="4"/>
  <c r="B495" i="4"/>
  <c r="B487" i="4"/>
  <c r="B479" i="4"/>
  <c r="B471" i="4"/>
  <c r="B463" i="4"/>
  <c r="B455" i="4"/>
  <c r="B447" i="4"/>
  <c r="B439" i="4"/>
  <c r="B431" i="4"/>
  <c r="B423" i="4"/>
  <c r="B415" i="4"/>
  <c r="B407" i="4"/>
  <c r="B399" i="4"/>
  <c r="B391" i="4"/>
  <c r="B383" i="4"/>
  <c r="B375" i="4"/>
  <c r="B367" i="4"/>
  <c r="B359" i="4"/>
  <c r="B351" i="4"/>
  <c r="B343" i="4"/>
  <c r="B335" i="4"/>
  <c r="B327" i="4"/>
  <c r="B319" i="4"/>
  <c r="B311" i="4"/>
  <c r="B303" i="4"/>
  <c r="B295" i="4"/>
  <c r="B287" i="4"/>
  <c r="B279" i="4"/>
  <c r="B271" i="4"/>
  <c r="B263" i="4"/>
  <c r="B255" i="4"/>
  <c r="B247" i="4"/>
  <c r="B239" i="4"/>
  <c r="B231" i="4"/>
  <c r="B223" i="4"/>
  <c r="B215" i="4"/>
  <c r="B207" i="4"/>
  <c r="B199" i="4"/>
  <c r="B191" i="4"/>
  <c r="B183" i="4"/>
  <c r="B175" i="4"/>
  <c r="B167" i="4"/>
  <c r="B159" i="4"/>
  <c r="B151" i="4"/>
  <c r="B143" i="4"/>
  <c r="B135" i="4"/>
  <c r="B127" i="4"/>
  <c r="B119" i="4"/>
  <c r="B111" i="4"/>
  <c r="B103" i="4"/>
  <c r="C103" i="4" s="1"/>
  <c r="B95" i="4"/>
  <c r="B87" i="4"/>
  <c r="B79" i="4"/>
  <c r="B71" i="4"/>
  <c r="B63" i="4"/>
  <c r="B55" i="4"/>
  <c r="B47" i="4"/>
  <c r="B39" i="4"/>
  <c r="B31" i="4"/>
  <c r="B23" i="4"/>
  <c r="B15" i="4"/>
  <c r="C416" i="4" l="1"/>
  <c r="C370" i="4"/>
  <c r="C261" i="4"/>
  <c r="C254" i="4"/>
  <c r="C58" i="4"/>
  <c r="C20" i="4"/>
  <c r="C145" i="4"/>
  <c r="C593" i="4"/>
  <c r="C71" i="4"/>
  <c r="C665" i="4"/>
  <c r="C182" i="4"/>
  <c r="C54" i="4"/>
  <c r="C580" i="4"/>
  <c r="C38" i="4"/>
  <c r="C462" i="4"/>
  <c r="C303" i="4"/>
  <c r="C175" i="4"/>
  <c r="C383" i="4"/>
  <c r="C92" i="4"/>
  <c r="C224" i="4"/>
  <c r="C562" i="4"/>
  <c r="C570" i="4"/>
  <c r="C652" i="4"/>
  <c r="C62" i="4"/>
  <c r="C510" i="4"/>
  <c r="C47" i="4"/>
  <c r="C446" i="4"/>
  <c r="C213" i="4"/>
  <c r="C664" i="4"/>
  <c r="C493" i="4"/>
  <c r="C229" i="4"/>
  <c r="C240" i="4"/>
  <c r="C88" i="4"/>
  <c r="C287" i="4"/>
  <c r="C5" i="4"/>
  <c r="C150" i="4"/>
  <c r="C125" i="4"/>
  <c r="C4" i="4"/>
  <c r="C575" i="4"/>
  <c r="C27" i="4"/>
  <c r="C98" i="4"/>
  <c r="C503" i="4"/>
  <c r="C144" i="4"/>
  <c r="C656" i="4"/>
  <c r="C84" i="4"/>
  <c r="C440" i="4"/>
  <c r="C472" i="4"/>
  <c r="C596" i="4"/>
  <c r="C513" i="4"/>
  <c r="C620" i="4"/>
  <c r="C368" i="4"/>
  <c r="C548" i="4"/>
  <c r="C221" i="4"/>
  <c r="C36" i="4"/>
  <c r="C185" i="4"/>
  <c r="C91" i="4"/>
  <c r="C131" i="4"/>
  <c r="C173" i="4"/>
  <c r="C32" i="4"/>
  <c r="C82" i="4"/>
  <c r="C238" i="4"/>
  <c r="C43" i="4"/>
  <c r="C64" i="4"/>
  <c r="C128" i="4"/>
  <c r="C78" i="4"/>
  <c r="C139" i="4"/>
  <c r="C650" i="4"/>
  <c r="C626" i="4"/>
  <c r="C544" i="4"/>
  <c r="C333" i="4"/>
  <c r="C95" i="4"/>
  <c r="C218" i="4"/>
  <c r="C49" i="4"/>
  <c r="C81" i="4"/>
  <c r="C123" i="4"/>
  <c r="C112" i="4"/>
  <c r="C132" i="4"/>
  <c r="C230" i="4"/>
  <c r="C585" i="4"/>
  <c r="C246" i="4"/>
  <c r="C42" i="4"/>
  <c r="C119" i="4"/>
  <c r="C295" i="4"/>
  <c r="C18" i="4"/>
  <c r="C222" i="4"/>
  <c r="C176" i="4"/>
  <c r="C135" i="4"/>
  <c r="C161" i="4"/>
  <c r="C288" i="4"/>
  <c r="C116" i="4"/>
  <c r="C87" i="4"/>
  <c r="C186" i="4"/>
  <c r="C75" i="4"/>
  <c r="C126" i="4"/>
  <c r="C34" i="4"/>
  <c r="C152" i="4"/>
  <c r="C278" i="4"/>
  <c r="C134" i="4"/>
  <c r="C167" i="4"/>
  <c r="C113" i="4"/>
  <c r="C592" i="4"/>
  <c r="C129" i="4"/>
  <c r="C74" i="4"/>
  <c r="C183" i="4"/>
  <c r="C11" i="4"/>
  <c r="C252" i="4"/>
  <c r="C314" i="4"/>
  <c r="C661" i="4"/>
  <c r="C340" i="4"/>
  <c r="C280" i="4"/>
  <c r="C196" i="4"/>
  <c r="C37" i="4"/>
  <c r="C127" i="4"/>
  <c r="C165" i="4"/>
  <c r="C44" i="4"/>
  <c r="C86" i="4"/>
  <c r="C29" i="4"/>
  <c r="C189" i="4"/>
  <c r="C263" i="4"/>
  <c r="C9" i="4"/>
  <c r="C41" i="4"/>
  <c r="C137" i="4"/>
  <c r="C169" i="4"/>
  <c r="C338" i="4"/>
  <c r="C154" i="4"/>
  <c r="C138" i="4"/>
  <c r="C10" i="4"/>
  <c r="C573" i="4"/>
  <c r="C3" i="4"/>
  <c r="C234" i="4"/>
  <c r="C227" i="4"/>
  <c r="C164" i="4"/>
  <c r="C106" i="4"/>
  <c r="C209" i="4"/>
  <c r="C307" i="4"/>
  <c r="C23" i="4"/>
  <c r="C136" i="4"/>
  <c r="C59" i="4"/>
  <c r="C170" i="4"/>
  <c r="C199" i="4"/>
  <c r="C107" i="4"/>
  <c r="C283" i="4"/>
  <c r="C242" i="4"/>
  <c r="C212" i="4"/>
  <c r="C309" i="4"/>
  <c r="C496" i="4"/>
  <c r="C567" i="4"/>
  <c r="C147" i="4"/>
  <c r="C68" i="4"/>
  <c r="C7" i="4"/>
  <c r="C187" i="4"/>
  <c r="C66" i="4"/>
  <c r="C15" i="4"/>
  <c r="C60" i="4"/>
  <c r="C188" i="4"/>
  <c r="C115" i="4"/>
  <c r="C156" i="4"/>
  <c r="C80" i="4"/>
  <c r="C208" i="4"/>
  <c r="C281" i="4"/>
  <c r="C94" i="4"/>
  <c r="C158" i="4"/>
  <c r="C226" i="4"/>
  <c r="C180" i="4"/>
  <c r="C148" i="4"/>
  <c r="C39" i="4"/>
  <c r="C216" i="4"/>
  <c r="C141" i="4"/>
  <c r="C130" i="4"/>
  <c r="C179" i="4"/>
  <c r="C160" i="4"/>
  <c r="C142" i="4"/>
  <c r="C223" i="4"/>
  <c r="C220" i="4"/>
  <c r="C225" i="4"/>
  <c r="C177" i="4"/>
  <c r="C155" i="4"/>
  <c r="C55" i="4"/>
  <c r="C215" i="4"/>
  <c r="C67" i="4"/>
  <c r="C77" i="4"/>
  <c r="C171" i="4"/>
  <c r="C100" i="4"/>
  <c r="C146" i="4"/>
  <c r="C249" i="4"/>
  <c r="C276" i="4"/>
  <c r="C163" i="4"/>
  <c r="C33" i="4"/>
  <c r="C65" i="4"/>
  <c r="C193" i="4"/>
  <c r="C256" i="4"/>
  <c r="C30" i="4"/>
  <c r="C190" i="4"/>
  <c r="C90" i="4"/>
  <c r="C202" i="4"/>
  <c r="C35" i="4"/>
  <c r="C565" i="4"/>
  <c r="C117" i="4"/>
  <c r="C120" i="4"/>
  <c r="C237" i="4"/>
  <c r="C48" i="4"/>
  <c r="C76" i="4"/>
  <c r="C204" i="4"/>
  <c r="C214" i="4"/>
  <c r="C157" i="4"/>
  <c r="C232" i="4"/>
  <c r="C73" i="4"/>
  <c r="C201" i="4"/>
  <c r="C579" i="4"/>
  <c r="C260" i="4"/>
  <c r="C51" i="4"/>
  <c r="C96" i="4"/>
  <c r="C235" i="4"/>
  <c r="C46" i="4"/>
  <c r="C110" i="4"/>
  <c r="C174" i="4"/>
  <c r="C248" i="4"/>
  <c r="C569" i="4"/>
  <c r="C50" i="4"/>
  <c r="C99" i="4"/>
  <c r="C335" i="4"/>
  <c r="C387" i="4"/>
  <c r="C542" i="4"/>
  <c r="C447" i="4"/>
  <c r="C521" i="4"/>
  <c r="C601" i="4"/>
  <c r="C561" i="4"/>
  <c r="C625" i="4"/>
  <c r="C639" i="4"/>
  <c r="C490" i="4"/>
  <c r="C429" i="4"/>
  <c r="C397" i="4"/>
  <c r="C557" i="4"/>
  <c r="C445" i="4"/>
  <c r="C332" i="4"/>
  <c r="C265" i="4"/>
  <c r="C310" i="4"/>
  <c r="C298" i="4"/>
  <c r="C178" i="4"/>
  <c r="C143" i="4"/>
  <c r="C19" i="4"/>
  <c r="C102" i="4"/>
  <c r="C8" i="4"/>
  <c r="C40" i="4"/>
  <c r="C104" i="4"/>
  <c r="C243" i="4"/>
  <c r="C22" i="4"/>
  <c r="C318" i="4"/>
  <c r="C52" i="4"/>
  <c r="C24" i="4"/>
  <c r="C251" i="4"/>
  <c r="C293" i="4"/>
  <c r="C315" i="4"/>
  <c r="C203" i="4"/>
  <c r="C61" i="4"/>
  <c r="C105" i="4"/>
  <c r="C247" i="4"/>
  <c r="C286" i="4"/>
  <c r="C346" i="4"/>
  <c r="C114" i="4"/>
  <c r="C2" i="4"/>
  <c r="H2" i="4" s="1"/>
  <c r="C85" i="4"/>
  <c r="C6" i="4"/>
  <c r="C14" i="4"/>
  <c r="C206" i="4"/>
  <c r="C26" i="4"/>
  <c r="C574" i="4"/>
  <c r="C327" i="4"/>
  <c r="C290" i="4"/>
  <c r="C69" i="4"/>
  <c r="C17" i="4"/>
  <c r="C228" i="4"/>
  <c r="C269" i="4"/>
  <c r="C485" i="4"/>
  <c r="C413" i="4"/>
  <c r="C415" i="4"/>
  <c r="C598" i="4"/>
  <c r="C388" i="4"/>
  <c r="C356" i="4"/>
  <c r="C478" i="4"/>
  <c r="C486" i="4"/>
  <c r="C417" i="4"/>
  <c r="C634" i="4"/>
  <c r="C273" i="4"/>
  <c r="C151" i="4"/>
  <c r="C12" i="4"/>
  <c r="C140" i="4"/>
  <c r="C296" i="4"/>
  <c r="C195" i="4"/>
  <c r="C45" i="4"/>
  <c r="C109" i="4"/>
  <c r="C57" i="4"/>
  <c r="C89" i="4"/>
  <c r="C121" i="4"/>
  <c r="C210" i="4"/>
  <c r="C172" i="4"/>
  <c r="C239" i="4"/>
  <c r="C93" i="4"/>
  <c r="C583" i="4"/>
  <c r="C317" i="4"/>
  <c r="C349" i="4"/>
  <c r="C231" i="4"/>
  <c r="C282" i="4"/>
  <c r="C538" i="4"/>
  <c r="C460" i="4"/>
  <c r="C528" i="4"/>
  <c r="C613" i="4"/>
  <c r="C581" i="4"/>
  <c r="C345" i="4"/>
  <c r="C305" i="4"/>
  <c r="C323" i="4"/>
  <c r="C194" i="4"/>
  <c r="C313" i="4"/>
  <c r="C31" i="4"/>
  <c r="C159" i="4"/>
  <c r="C197" i="4"/>
  <c r="C245" i="4"/>
  <c r="C25" i="4"/>
  <c r="C63" i="4"/>
  <c r="C108" i="4"/>
  <c r="C153" i="4"/>
  <c r="C191" i="4"/>
  <c r="C270" i="4"/>
  <c r="C118" i="4"/>
  <c r="C275" i="4"/>
  <c r="C21" i="4"/>
  <c r="C53" i="4"/>
  <c r="C149" i="4"/>
  <c r="C181" i="4"/>
  <c r="C300" i="4"/>
  <c r="C271" i="4"/>
  <c r="C344" i="4"/>
  <c r="C101" i="4"/>
  <c r="C588" i="4"/>
  <c r="C253" i="4"/>
  <c r="C564" i="4"/>
  <c r="C336" i="4"/>
  <c r="C244" i="4"/>
  <c r="C590" i="4"/>
  <c r="C312" i="4"/>
  <c r="C205" i="4"/>
  <c r="C200" i="4"/>
  <c r="C308" i="4"/>
  <c r="C584" i="4"/>
  <c r="C79" i="4"/>
  <c r="C162" i="4"/>
  <c r="C207" i="4"/>
  <c r="C28" i="4"/>
  <c r="C111" i="4"/>
  <c r="C124" i="4"/>
  <c r="C56" i="4"/>
  <c r="C184" i="4"/>
  <c r="C236" i="4"/>
  <c r="C268" i="4"/>
  <c r="C70" i="4"/>
  <c r="C198" i="4"/>
  <c r="C348" i="4"/>
  <c r="C577" i="4"/>
  <c r="C421" i="4"/>
  <c r="C217" i="4"/>
  <c r="C343" i="4"/>
  <c r="C291" i="4"/>
  <c r="C334" i="4"/>
  <c r="C258" i="4"/>
  <c r="C337" i="4"/>
  <c r="C272" i="4"/>
  <c r="C292" i="4"/>
  <c r="C321" i="4"/>
  <c r="C582" i="4"/>
  <c r="C259" i="4"/>
  <c r="C576" i="4"/>
  <c r="C322" i="4"/>
  <c r="C255" i="4"/>
  <c r="C233" i="4"/>
  <c r="C241" i="4"/>
  <c r="C302" i="4"/>
  <c r="C264" i="4"/>
  <c r="C316" i="4"/>
  <c r="C571" i="4"/>
  <c r="C324" i="4"/>
  <c r="C297" i="4"/>
  <c r="C589" i="4"/>
  <c r="C320" i="4"/>
  <c r="C331" i="4"/>
  <c r="C306" i="4"/>
  <c r="C638" i="4"/>
  <c r="C566" i="4"/>
  <c r="C648" i="4"/>
  <c r="C382" i="4"/>
  <c r="C299" i="4"/>
  <c r="C285" i="4"/>
  <c r="C428" i="4"/>
  <c r="C501" i="4"/>
  <c r="C558" i="4"/>
  <c r="C394" i="4"/>
  <c r="C492" i="4"/>
  <c r="C487" i="4"/>
  <c r="C616" i="4"/>
  <c r="C391" i="4"/>
  <c r="C326" i="4"/>
  <c r="C586" i="4"/>
  <c r="C277" i="4"/>
  <c r="C511" i="4"/>
  <c r="C374" i="4"/>
  <c r="C641" i="4"/>
  <c r="C621" i="4"/>
  <c r="C594" i="4"/>
  <c r="C467" i="4"/>
  <c r="C645" i="4"/>
  <c r="C618" i="4"/>
  <c r="C600" i="4"/>
  <c r="C407" i="4"/>
  <c r="C509" i="4"/>
  <c r="C475" i="4"/>
  <c r="C441" i="4"/>
  <c r="C619" i="4"/>
  <c r="C657" i="4"/>
  <c r="C640" i="4"/>
  <c r="C494" i="4"/>
  <c r="C398" i="4"/>
  <c r="C366" i="4"/>
  <c r="C481" i="4"/>
  <c r="C432" i="4"/>
  <c r="C393" i="4"/>
  <c r="C546" i="4"/>
  <c r="C560" i="4"/>
  <c r="C453" i="4"/>
  <c r="C646" i="4"/>
  <c r="C502" i="4"/>
  <c r="C473" i="4"/>
  <c r="C262" i="4"/>
  <c r="C450" i="4"/>
  <c r="C355" i="4"/>
  <c r="C540" i="4"/>
  <c r="C389" i="4"/>
  <c r="C359" i="4"/>
  <c r="C523" i="4"/>
  <c r="C459" i="4"/>
  <c r="C361" i="4"/>
  <c r="C622" i="4"/>
  <c r="C659" i="4"/>
  <c r="C539" i="4"/>
  <c r="C458" i="4"/>
  <c r="C637" i="4"/>
  <c r="C610" i="4"/>
  <c r="C553" i="4"/>
  <c r="C522" i="4"/>
  <c r="C426" i="4"/>
  <c r="C644" i="4"/>
  <c r="C668" i="4"/>
  <c r="C555" i="4"/>
  <c r="C470" i="4"/>
  <c r="C660" i="4"/>
  <c r="C552" i="4"/>
  <c r="C409" i="4"/>
  <c r="C379" i="4"/>
  <c r="C350" i="4"/>
  <c r="C535" i="4"/>
  <c r="C489" i="4"/>
  <c r="C427" i="4"/>
  <c r="C456" i="4"/>
  <c r="C373" i="4"/>
  <c r="C424" i="4"/>
  <c r="C631" i="4"/>
  <c r="C658" i="4"/>
  <c r="C266" i="4"/>
  <c r="C284" i="4"/>
  <c r="C339" i="4"/>
  <c r="C274" i="4"/>
  <c r="C301" i="4"/>
  <c r="C591" i="4"/>
  <c r="C406" i="4"/>
  <c r="C377" i="4"/>
  <c r="C643" i="4"/>
  <c r="C533" i="4"/>
  <c r="C623" i="4"/>
  <c r="C547" i="4"/>
  <c r="C439" i="4"/>
  <c r="C647" i="4"/>
  <c r="C568" i="4"/>
  <c r="C471" i="4"/>
  <c r="C653" i="4"/>
  <c r="C624" i="4"/>
  <c r="C629" i="4"/>
  <c r="C602" i="4"/>
  <c r="C599" i="4"/>
  <c r="C325" i="4"/>
  <c r="C454" i="4"/>
  <c r="C329" i="4"/>
  <c r="C611" i="4"/>
  <c r="C479" i="4"/>
  <c r="C418" i="4"/>
  <c r="C635" i="4"/>
  <c r="C549" i="4"/>
  <c r="C518" i="4"/>
  <c r="C375" i="4"/>
  <c r="C488" i="4"/>
  <c r="C451" i="4"/>
  <c r="C524" i="4"/>
  <c r="C357" i="4"/>
  <c r="C515" i="4"/>
  <c r="C449" i="4"/>
  <c r="C250" i="4"/>
  <c r="C550" i="4"/>
  <c r="C606" i="4"/>
  <c r="C497" i="4"/>
  <c r="C411" i="4"/>
  <c r="C381" i="4"/>
  <c r="C364" i="4"/>
  <c r="C630" i="4"/>
  <c r="C412" i="4"/>
  <c r="C605" i="4"/>
  <c r="C512" i="4"/>
  <c r="C443" i="4"/>
  <c r="C365" i="4"/>
  <c r="C663" i="4"/>
  <c r="C655" i="4"/>
  <c r="C572" i="4"/>
  <c r="C267" i="4"/>
  <c r="C304" i="4"/>
  <c r="C404" i="4"/>
  <c r="C604" i="4"/>
  <c r="C554" i="4"/>
  <c r="C465" i="4"/>
  <c r="C433" i="4"/>
  <c r="C504" i="4"/>
  <c r="C442" i="4"/>
  <c r="C628" i="4"/>
  <c r="C508" i="4"/>
  <c r="C437" i="4"/>
  <c r="C669" i="4"/>
  <c r="C537" i="4"/>
  <c r="C444" i="4"/>
  <c r="C410" i="4"/>
  <c r="C363" i="4"/>
  <c r="C651" i="4"/>
  <c r="C385" i="4"/>
  <c r="C514" i="4"/>
  <c r="C360" i="4"/>
  <c r="C578" i="4"/>
  <c r="C342" i="4"/>
  <c r="C289" i="4"/>
  <c r="C279" i="4"/>
  <c r="C399" i="4"/>
  <c r="C372" i="4"/>
  <c r="C526" i="4"/>
  <c r="C430" i="4"/>
  <c r="C435" i="4"/>
  <c r="C506" i="4"/>
  <c r="C408" i="4"/>
  <c r="C376" i="4"/>
  <c r="C615" i="4"/>
  <c r="C667" i="4"/>
  <c r="C534" i="4"/>
  <c r="C464" i="4"/>
  <c r="C403" i="4"/>
  <c r="C378" i="4"/>
  <c r="C525" i="4"/>
  <c r="C405" i="4"/>
  <c r="C543" i="4"/>
  <c r="C500" i="4"/>
  <c r="C468" i="4"/>
  <c r="C438" i="4"/>
  <c r="C358" i="4"/>
  <c r="C617" i="4"/>
  <c r="C536" i="4"/>
  <c r="C480" i="4"/>
  <c r="C455" i="4"/>
  <c r="C353" i="4"/>
  <c r="C597" i="4"/>
  <c r="C482" i="4"/>
  <c r="C609" i="4"/>
  <c r="C384" i="4"/>
  <c r="C633" i="4"/>
  <c r="C551" i="4"/>
  <c r="C476" i="4"/>
  <c r="C607" i="4"/>
  <c r="C390" i="4"/>
  <c r="C666" i="4"/>
  <c r="C519" i="4"/>
  <c r="C423" i="4"/>
  <c r="C636" i="4"/>
  <c r="C516" i="4"/>
  <c r="C452" i="4"/>
  <c r="C559" i="4"/>
  <c r="C499" i="4"/>
  <c r="C354" i="4"/>
  <c r="C608" i="4"/>
  <c r="C474" i="4"/>
  <c r="C532" i="4"/>
  <c r="C461" i="4"/>
  <c r="C371" i="4"/>
  <c r="C632" i="4"/>
  <c r="C498" i="4"/>
  <c r="C541" i="4"/>
  <c r="C495" i="4"/>
  <c r="C463" i="4"/>
  <c r="C436" i="4"/>
  <c r="C402" i="4"/>
  <c r="C380" i="4"/>
  <c r="C614" i="4"/>
  <c r="C507" i="4"/>
  <c r="C477" i="4"/>
  <c r="C392" i="4"/>
  <c r="C319" i="4"/>
  <c r="C347" i="4"/>
  <c r="C257" i="4"/>
  <c r="C311" i="4"/>
  <c r="C531" i="4"/>
  <c r="C362" i="4"/>
  <c r="C545" i="4"/>
  <c r="C396" i="4"/>
  <c r="C662" i="4"/>
  <c r="C556" i="4"/>
  <c r="C484" i="4"/>
  <c r="C457" i="4"/>
  <c r="C420" i="4"/>
  <c r="C386" i="4"/>
  <c r="C352" i="4"/>
  <c r="C603" i="4"/>
  <c r="C649" i="4"/>
  <c r="C530" i="4"/>
  <c r="C469" i="4"/>
  <c r="C425" i="4"/>
  <c r="C401" i="4"/>
  <c r="C369" i="4"/>
  <c r="C527" i="4"/>
  <c r="C491" i="4"/>
  <c r="C434" i="4"/>
  <c r="C627" i="4"/>
  <c r="C520" i="4"/>
  <c r="C466" i="4"/>
  <c r="C422" i="4"/>
  <c r="C395" i="4"/>
  <c r="C642" i="4"/>
  <c r="C595" i="4"/>
  <c r="C431" i="4"/>
  <c r="C400" i="4"/>
  <c r="C351" i="4"/>
  <c r="C612" i="4"/>
  <c r="C529" i="4"/>
  <c r="C505" i="4"/>
  <c r="C448" i="4"/>
  <c r="C419" i="4"/>
  <c r="C294" i="4"/>
  <c r="H3" i="4" l="1"/>
  <c r="H4" i="4" s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s="1"/>
  <c r="H118" i="4" s="1"/>
  <c r="H119" i="4" s="1"/>
  <c r="H120" i="4" s="1"/>
  <c r="H121" i="4" s="1"/>
  <c r="H122" i="4" s="1"/>
  <c r="H123" i="4" s="1"/>
  <c r="H124" i="4" s="1"/>
  <c r="H125" i="4" s="1"/>
  <c r="H126" i="4" s="1"/>
  <c r="H127" i="4" s="1"/>
  <c r="H128" i="4" s="1"/>
  <c r="H129" i="4" s="1"/>
  <c r="H130" i="4" s="1"/>
  <c r="H131" i="4" s="1"/>
  <c r="H132" i="4" s="1"/>
  <c r="H133" i="4" s="1"/>
  <c r="H134" i="4" s="1"/>
  <c r="H135" i="4" s="1"/>
  <c r="H136" i="4" s="1"/>
  <c r="H137" i="4" s="1"/>
  <c r="H138" i="4" s="1"/>
  <c r="H139" i="4" s="1"/>
  <c r="H140" i="4" s="1"/>
  <c r="H141" i="4" s="1"/>
  <c r="H142" i="4" s="1"/>
  <c r="H143" i="4" s="1"/>
  <c r="H144" i="4" s="1"/>
  <c r="H145" i="4" s="1"/>
  <c r="H146" i="4" s="1"/>
  <c r="H147" i="4" s="1"/>
  <c r="H148" i="4" s="1"/>
  <c r="H149" i="4" s="1"/>
  <c r="H150" i="4" s="1"/>
  <c r="H151" i="4" s="1"/>
  <c r="H152" i="4" s="1"/>
  <c r="H153" i="4" s="1"/>
  <c r="H154" i="4" s="1"/>
  <c r="H155" i="4" s="1"/>
  <c r="H156" i="4" s="1"/>
  <c r="H157" i="4" s="1"/>
  <c r="H158" i="4" s="1"/>
  <c r="H159" i="4" s="1"/>
  <c r="H160" i="4" s="1"/>
  <c r="H161" i="4" s="1"/>
  <c r="H162" i="4" s="1"/>
  <c r="H163" i="4" s="1"/>
  <c r="H164" i="4" s="1"/>
  <c r="H165" i="4" s="1"/>
  <c r="H166" i="4" s="1"/>
  <c r="H167" i="4" s="1"/>
  <c r="H168" i="4" s="1"/>
  <c r="H169" i="4" s="1"/>
  <c r="H170" i="4" s="1"/>
  <c r="H171" i="4" s="1"/>
  <c r="H172" i="4" s="1"/>
  <c r="H173" i="4" s="1"/>
  <c r="H174" i="4" s="1"/>
  <c r="H175" i="4" s="1"/>
  <c r="H176" i="4" s="1"/>
  <c r="H177" i="4" s="1"/>
  <c r="H178" i="4" s="1"/>
  <c r="H179" i="4" s="1"/>
  <c r="H180" i="4" s="1"/>
  <c r="H181" i="4" s="1"/>
  <c r="H182" i="4" s="1"/>
  <c r="H183" i="4" s="1"/>
  <c r="H184" i="4" s="1"/>
  <c r="H185" i="4" s="1"/>
  <c r="H186" i="4" s="1"/>
  <c r="H187" i="4" s="1"/>
  <c r="H188" i="4" s="1"/>
  <c r="H189" i="4" s="1"/>
  <c r="H190" i="4" s="1"/>
  <c r="H191" i="4" s="1"/>
  <c r="H192" i="4" s="1"/>
  <c r="H193" i="4" s="1"/>
  <c r="H194" i="4" s="1"/>
  <c r="H195" i="4" s="1"/>
  <c r="H196" i="4" s="1"/>
  <c r="H197" i="4" s="1"/>
  <c r="H198" i="4" s="1"/>
  <c r="H199" i="4" s="1"/>
  <c r="H200" i="4" s="1"/>
  <c r="H201" i="4" s="1"/>
  <c r="H202" i="4" s="1"/>
  <c r="H203" i="4" s="1"/>
  <c r="H204" i="4" s="1"/>
  <c r="H205" i="4" s="1"/>
  <c r="H206" i="4" s="1"/>
  <c r="H207" i="4" s="1"/>
  <c r="H208" i="4" s="1"/>
  <c r="H209" i="4" s="1"/>
  <c r="H210" i="4" s="1"/>
  <c r="H211" i="4" s="1"/>
  <c r="H212" i="4" s="1"/>
  <c r="H213" i="4" s="1"/>
  <c r="H214" i="4" s="1"/>
  <c r="H215" i="4" s="1"/>
  <c r="H216" i="4" s="1"/>
  <c r="H217" i="4" s="1"/>
  <c r="H218" i="4" s="1"/>
  <c r="H219" i="4" s="1"/>
  <c r="H220" i="4" s="1"/>
  <c r="H221" i="4" s="1"/>
  <c r="H222" i="4" s="1"/>
  <c r="H223" i="4" s="1"/>
  <c r="H224" i="4" s="1"/>
  <c r="H225" i="4" s="1"/>
  <c r="H226" i="4" s="1"/>
  <c r="H227" i="4" s="1"/>
  <c r="H228" i="4" s="1"/>
  <c r="H229" i="4" s="1"/>
  <c r="H230" i="4" s="1"/>
  <c r="H231" i="4" s="1"/>
  <c r="H232" i="4" s="1"/>
  <c r="H233" i="4" s="1"/>
  <c r="H234" i="4" s="1"/>
  <c r="H235" i="4" s="1"/>
  <c r="H236" i="4" s="1"/>
  <c r="H237" i="4" s="1"/>
  <c r="H238" i="4" s="1"/>
  <c r="H239" i="4" s="1"/>
  <c r="H240" i="4" s="1"/>
  <c r="H241" i="4" s="1"/>
  <c r="H242" i="4" s="1"/>
  <c r="H243" i="4" s="1"/>
  <c r="H244" i="4" s="1"/>
  <c r="H245" i="4" s="1"/>
  <c r="H246" i="4" s="1"/>
  <c r="H247" i="4" s="1"/>
  <c r="H248" i="4" s="1"/>
  <c r="H249" i="4" s="1"/>
  <c r="H250" i="4" s="1"/>
  <c r="H251" i="4" s="1"/>
  <c r="H252" i="4" s="1"/>
  <c r="H253" i="4" s="1"/>
  <c r="H254" i="4" s="1"/>
  <c r="H255" i="4" s="1"/>
  <c r="H256" i="4" s="1"/>
  <c r="H257" i="4" s="1"/>
  <c r="H258" i="4" s="1"/>
  <c r="H259" i="4" s="1"/>
  <c r="H260" i="4" s="1"/>
  <c r="H261" i="4" s="1"/>
  <c r="H262" i="4" s="1"/>
  <c r="H263" i="4" s="1"/>
  <c r="H264" i="4" s="1"/>
  <c r="H265" i="4" s="1"/>
  <c r="H266" i="4" s="1"/>
  <c r="H267" i="4" s="1"/>
  <c r="H268" i="4" s="1"/>
  <c r="H269" i="4" s="1"/>
  <c r="H270" i="4" s="1"/>
  <c r="H271" i="4" s="1"/>
  <c r="H272" i="4" s="1"/>
  <c r="H273" i="4" s="1"/>
  <c r="H274" i="4" s="1"/>
  <c r="H275" i="4" s="1"/>
  <c r="H276" i="4" s="1"/>
  <c r="H277" i="4" s="1"/>
  <c r="H278" i="4" s="1"/>
  <c r="H279" i="4" s="1"/>
  <c r="H280" i="4" s="1"/>
  <c r="H281" i="4" s="1"/>
  <c r="H282" i="4" s="1"/>
  <c r="H283" i="4" s="1"/>
  <c r="H284" i="4" s="1"/>
  <c r="H285" i="4" s="1"/>
  <c r="H286" i="4" s="1"/>
  <c r="H287" i="4" s="1"/>
  <c r="H288" i="4" s="1"/>
  <c r="H289" i="4" s="1"/>
  <c r="H290" i="4" s="1"/>
  <c r="H291" i="4" s="1"/>
  <c r="H292" i="4" s="1"/>
  <c r="H293" i="4" s="1"/>
  <c r="H294" i="4" s="1"/>
  <c r="H295" i="4" s="1"/>
  <c r="H296" i="4" s="1"/>
  <c r="H297" i="4" s="1"/>
  <c r="H298" i="4" s="1"/>
  <c r="H299" i="4" s="1"/>
  <c r="H300" i="4" s="1"/>
  <c r="H301" i="4" s="1"/>
  <c r="H302" i="4" s="1"/>
  <c r="H303" i="4" s="1"/>
  <c r="H304" i="4" s="1"/>
  <c r="H305" i="4" s="1"/>
  <c r="H306" i="4" s="1"/>
  <c r="H307" i="4" s="1"/>
  <c r="H308" i="4" s="1"/>
  <c r="H309" i="4" s="1"/>
  <c r="H310" i="4" s="1"/>
  <c r="H311" i="4" s="1"/>
  <c r="H312" i="4" s="1"/>
  <c r="H313" i="4" s="1"/>
  <c r="H314" i="4" s="1"/>
  <c r="H315" i="4" s="1"/>
  <c r="H316" i="4" s="1"/>
  <c r="H317" i="4" s="1"/>
  <c r="H318" i="4" s="1"/>
  <c r="H319" i="4" s="1"/>
  <c r="H320" i="4" s="1"/>
  <c r="H321" i="4" s="1"/>
  <c r="H322" i="4" s="1"/>
  <c r="H323" i="4" s="1"/>
  <c r="H324" i="4" s="1"/>
  <c r="H325" i="4" s="1"/>
  <c r="H326" i="4" s="1"/>
  <c r="H327" i="4" s="1"/>
  <c r="H328" i="4" s="1"/>
  <c r="H329" i="4" s="1"/>
  <c r="H330" i="4" s="1"/>
  <c r="H331" i="4" s="1"/>
  <c r="H332" i="4" s="1"/>
  <c r="H333" i="4" s="1"/>
  <c r="H334" i="4" s="1"/>
  <c r="H335" i="4" s="1"/>
  <c r="H336" i="4" s="1"/>
  <c r="H337" i="4" s="1"/>
  <c r="H338" i="4" s="1"/>
  <c r="H339" i="4" s="1"/>
  <c r="H340" i="4" s="1"/>
  <c r="H341" i="4" s="1"/>
  <c r="H342" i="4" s="1"/>
  <c r="H343" i="4" s="1"/>
  <c r="H344" i="4" s="1"/>
  <c r="H345" i="4" s="1"/>
  <c r="H346" i="4" s="1"/>
  <c r="H347" i="4" s="1"/>
  <c r="H348" i="4" s="1"/>
  <c r="H349" i="4" s="1"/>
  <c r="H350" i="4" s="1"/>
  <c r="H351" i="4" s="1"/>
  <c r="H352" i="4" s="1"/>
  <c r="H353" i="4" s="1"/>
  <c r="H354" i="4" s="1"/>
  <c r="H355" i="4" s="1"/>
  <c r="H356" i="4" s="1"/>
  <c r="H357" i="4" s="1"/>
  <c r="H358" i="4" s="1"/>
  <c r="H359" i="4" s="1"/>
  <c r="H360" i="4" s="1"/>
  <c r="H361" i="4" s="1"/>
  <c r="H362" i="4" s="1"/>
  <c r="H363" i="4" s="1"/>
  <c r="H364" i="4" s="1"/>
  <c r="H365" i="4" s="1"/>
  <c r="H366" i="4" s="1"/>
  <c r="H367" i="4" s="1"/>
  <c r="H368" i="4" s="1"/>
  <c r="H369" i="4" s="1"/>
  <c r="H370" i="4" s="1"/>
  <c r="H371" i="4" s="1"/>
  <c r="H372" i="4" s="1"/>
  <c r="H373" i="4" s="1"/>
  <c r="H374" i="4" s="1"/>
  <c r="H375" i="4" s="1"/>
  <c r="H376" i="4" s="1"/>
  <c r="H377" i="4" s="1"/>
  <c r="H378" i="4" s="1"/>
  <c r="H379" i="4" s="1"/>
  <c r="H380" i="4" s="1"/>
  <c r="H381" i="4" s="1"/>
  <c r="H382" i="4" s="1"/>
  <c r="H383" i="4" s="1"/>
  <c r="H384" i="4" s="1"/>
  <c r="H385" i="4" s="1"/>
  <c r="H386" i="4" s="1"/>
  <c r="H387" i="4" s="1"/>
  <c r="H388" i="4" s="1"/>
  <c r="H389" i="4" s="1"/>
  <c r="H390" i="4" s="1"/>
  <c r="H391" i="4" s="1"/>
  <c r="H392" i="4" s="1"/>
  <c r="H393" i="4" s="1"/>
  <c r="H394" i="4" s="1"/>
  <c r="H395" i="4" s="1"/>
  <c r="H396" i="4" s="1"/>
  <c r="H397" i="4" s="1"/>
  <c r="H398" i="4" s="1"/>
  <c r="H399" i="4" s="1"/>
  <c r="H400" i="4" s="1"/>
  <c r="H401" i="4" s="1"/>
  <c r="H402" i="4" s="1"/>
  <c r="H403" i="4" s="1"/>
  <c r="H404" i="4" s="1"/>
  <c r="H405" i="4" s="1"/>
  <c r="H406" i="4" s="1"/>
  <c r="H407" i="4" s="1"/>
  <c r="H408" i="4" s="1"/>
  <c r="H409" i="4" s="1"/>
  <c r="H410" i="4" s="1"/>
  <c r="H411" i="4" s="1"/>
  <c r="H412" i="4" s="1"/>
  <c r="H413" i="4" s="1"/>
  <c r="H414" i="4" s="1"/>
  <c r="H415" i="4" s="1"/>
  <c r="H416" i="4" s="1"/>
  <c r="H417" i="4" s="1"/>
  <c r="H418" i="4" s="1"/>
  <c r="H419" i="4" s="1"/>
  <c r="H420" i="4" s="1"/>
  <c r="H421" i="4" s="1"/>
  <c r="H422" i="4" s="1"/>
  <c r="H423" i="4" s="1"/>
  <c r="H424" i="4" s="1"/>
  <c r="H425" i="4" s="1"/>
  <c r="H426" i="4" s="1"/>
  <c r="H427" i="4" s="1"/>
  <c r="H428" i="4" s="1"/>
  <c r="H429" i="4" s="1"/>
  <c r="H430" i="4" s="1"/>
  <c r="H431" i="4" s="1"/>
  <c r="H432" i="4" s="1"/>
  <c r="H433" i="4" s="1"/>
  <c r="H434" i="4" s="1"/>
  <c r="H435" i="4" s="1"/>
  <c r="H436" i="4" s="1"/>
  <c r="H437" i="4" s="1"/>
  <c r="H438" i="4" s="1"/>
  <c r="H439" i="4" s="1"/>
  <c r="H440" i="4" s="1"/>
  <c r="H441" i="4" s="1"/>
  <c r="H442" i="4" s="1"/>
  <c r="H443" i="4" s="1"/>
  <c r="H444" i="4" s="1"/>
  <c r="H445" i="4" s="1"/>
  <c r="H446" i="4" s="1"/>
  <c r="H447" i="4" s="1"/>
  <c r="H448" i="4" s="1"/>
  <c r="H449" i="4" s="1"/>
  <c r="H450" i="4" s="1"/>
  <c r="H451" i="4" s="1"/>
  <c r="H452" i="4" s="1"/>
  <c r="H453" i="4" s="1"/>
  <c r="H454" i="4" s="1"/>
  <c r="H455" i="4" s="1"/>
  <c r="H456" i="4" s="1"/>
  <c r="H457" i="4" s="1"/>
  <c r="H458" i="4" s="1"/>
  <c r="H459" i="4" s="1"/>
  <c r="H460" i="4" s="1"/>
  <c r="H461" i="4" s="1"/>
  <c r="H462" i="4" s="1"/>
  <c r="H463" i="4" s="1"/>
  <c r="H464" i="4" s="1"/>
  <c r="H465" i="4" s="1"/>
  <c r="H466" i="4" s="1"/>
  <c r="H467" i="4" s="1"/>
  <c r="H468" i="4" s="1"/>
  <c r="H469" i="4" s="1"/>
  <c r="H470" i="4" s="1"/>
  <c r="H471" i="4" s="1"/>
  <c r="H472" i="4" s="1"/>
  <c r="H473" i="4" s="1"/>
  <c r="H474" i="4" s="1"/>
  <c r="H475" i="4" s="1"/>
  <c r="H476" i="4" s="1"/>
  <c r="H477" i="4" s="1"/>
  <c r="H478" i="4" s="1"/>
  <c r="H479" i="4" s="1"/>
  <c r="H480" i="4" s="1"/>
  <c r="H481" i="4" s="1"/>
  <c r="H482" i="4" s="1"/>
  <c r="H483" i="4" s="1"/>
  <c r="H484" i="4" s="1"/>
  <c r="H485" i="4" s="1"/>
  <c r="H486" i="4" s="1"/>
  <c r="H487" i="4" s="1"/>
  <c r="H488" i="4" s="1"/>
  <c r="H489" i="4" s="1"/>
  <c r="H490" i="4" s="1"/>
  <c r="H491" i="4" s="1"/>
  <c r="H492" i="4" s="1"/>
  <c r="H493" i="4" s="1"/>
  <c r="H494" i="4" s="1"/>
  <c r="H495" i="4" s="1"/>
  <c r="H496" i="4" s="1"/>
  <c r="H497" i="4" s="1"/>
  <c r="H498" i="4" s="1"/>
  <c r="H499" i="4" s="1"/>
  <c r="H500" i="4" s="1"/>
  <c r="H501" i="4" s="1"/>
  <c r="H502" i="4" s="1"/>
  <c r="H503" i="4" s="1"/>
  <c r="H504" i="4" s="1"/>
  <c r="H505" i="4" s="1"/>
  <c r="H506" i="4" s="1"/>
  <c r="H507" i="4" s="1"/>
  <c r="H508" i="4" s="1"/>
  <c r="H509" i="4" s="1"/>
  <c r="H510" i="4" s="1"/>
  <c r="H511" i="4" s="1"/>
  <c r="H512" i="4" s="1"/>
  <c r="H513" i="4" s="1"/>
  <c r="H514" i="4" s="1"/>
  <c r="H515" i="4" s="1"/>
  <c r="H516" i="4" s="1"/>
  <c r="H517" i="4" s="1"/>
  <c r="H518" i="4" s="1"/>
  <c r="H519" i="4" s="1"/>
  <c r="H520" i="4" s="1"/>
  <c r="H521" i="4" s="1"/>
  <c r="H522" i="4" s="1"/>
  <c r="H523" i="4" s="1"/>
  <c r="H524" i="4" s="1"/>
  <c r="H525" i="4" s="1"/>
  <c r="H526" i="4" s="1"/>
  <c r="H527" i="4" s="1"/>
  <c r="H528" i="4" s="1"/>
  <c r="H529" i="4" s="1"/>
  <c r="H530" i="4" s="1"/>
  <c r="H531" i="4" s="1"/>
  <c r="H532" i="4" s="1"/>
  <c r="H533" i="4" s="1"/>
  <c r="H534" i="4" s="1"/>
  <c r="H535" i="4" s="1"/>
  <c r="H536" i="4" s="1"/>
  <c r="H537" i="4" s="1"/>
  <c r="H538" i="4" s="1"/>
  <c r="H539" i="4" s="1"/>
  <c r="H540" i="4" s="1"/>
  <c r="H541" i="4" s="1"/>
  <c r="H542" i="4" s="1"/>
  <c r="H543" i="4" s="1"/>
  <c r="H544" i="4" s="1"/>
  <c r="H545" i="4" s="1"/>
  <c r="H546" i="4" s="1"/>
  <c r="H547" i="4" s="1"/>
  <c r="H548" i="4" s="1"/>
  <c r="H549" i="4" s="1"/>
  <c r="H550" i="4" s="1"/>
  <c r="H551" i="4" s="1"/>
  <c r="H552" i="4" s="1"/>
  <c r="H553" i="4" s="1"/>
  <c r="H554" i="4" s="1"/>
  <c r="H555" i="4" s="1"/>
  <c r="H556" i="4" s="1"/>
  <c r="H557" i="4" s="1"/>
  <c r="H558" i="4" s="1"/>
  <c r="H559" i="4" s="1"/>
  <c r="H560" i="4" s="1"/>
  <c r="H561" i="4" s="1"/>
  <c r="H562" i="4" s="1"/>
  <c r="H563" i="4" s="1"/>
  <c r="H564" i="4" s="1"/>
  <c r="H565" i="4" s="1"/>
  <c r="H566" i="4" s="1"/>
  <c r="H567" i="4" s="1"/>
  <c r="H568" i="4" s="1"/>
  <c r="H569" i="4" s="1"/>
  <c r="H570" i="4" s="1"/>
  <c r="H571" i="4" s="1"/>
  <c r="H572" i="4" s="1"/>
  <c r="H573" i="4" s="1"/>
  <c r="H574" i="4" s="1"/>
  <c r="H575" i="4" s="1"/>
  <c r="H576" i="4" s="1"/>
  <c r="H577" i="4" s="1"/>
  <c r="H578" i="4" s="1"/>
  <c r="H579" i="4" s="1"/>
  <c r="H580" i="4" s="1"/>
  <c r="H581" i="4" s="1"/>
  <c r="H582" i="4" s="1"/>
  <c r="H583" i="4" s="1"/>
  <c r="H584" i="4" s="1"/>
  <c r="H585" i="4" s="1"/>
  <c r="H586" i="4" s="1"/>
  <c r="H587" i="4" s="1"/>
  <c r="H588" i="4" s="1"/>
  <c r="H589" i="4" s="1"/>
  <c r="H590" i="4" s="1"/>
  <c r="H591" i="4" s="1"/>
  <c r="H592" i="4" s="1"/>
  <c r="H593" i="4" s="1"/>
  <c r="H594" i="4" s="1"/>
  <c r="H595" i="4" s="1"/>
  <c r="H596" i="4" s="1"/>
  <c r="H597" i="4" s="1"/>
  <c r="H598" i="4" s="1"/>
  <c r="H599" i="4" s="1"/>
  <c r="H600" i="4" s="1"/>
  <c r="H601" i="4" s="1"/>
  <c r="H602" i="4" s="1"/>
  <c r="H603" i="4" s="1"/>
  <c r="H604" i="4" s="1"/>
  <c r="H605" i="4" s="1"/>
  <c r="H606" i="4" s="1"/>
  <c r="H607" i="4" s="1"/>
  <c r="H608" i="4" s="1"/>
  <c r="H609" i="4" s="1"/>
  <c r="H610" i="4" s="1"/>
  <c r="H611" i="4" s="1"/>
  <c r="H612" i="4" s="1"/>
  <c r="H613" i="4" s="1"/>
  <c r="H614" i="4" s="1"/>
  <c r="H615" i="4" s="1"/>
  <c r="H616" i="4" s="1"/>
  <c r="H617" i="4" s="1"/>
  <c r="H618" i="4" s="1"/>
  <c r="H619" i="4" s="1"/>
  <c r="H620" i="4" s="1"/>
  <c r="H621" i="4" s="1"/>
  <c r="H622" i="4" s="1"/>
  <c r="H623" i="4" s="1"/>
  <c r="H624" i="4" s="1"/>
  <c r="H625" i="4" s="1"/>
  <c r="H626" i="4" s="1"/>
  <c r="H627" i="4" s="1"/>
  <c r="H628" i="4" s="1"/>
  <c r="H629" i="4" s="1"/>
  <c r="H630" i="4" s="1"/>
  <c r="H631" i="4" s="1"/>
  <c r="H632" i="4" s="1"/>
  <c r="H633" i="4" s="1"/>
  <c r="H634" i="4" s="1"/>
  <c r="H635" i="4" s="1"/>
  <c r="H636" i="4" s="1"/>
  <c r="H637" i="4" s="1"/>
  <c r="H638" i="4" s="1"/>
  <c r="H639" i="4" s="1"/>
  <c r="H640" i="4" s="1"/>
  <c r="H641" i="4" s="1"/>
  <c r="H642" i="4" s="1"/>
  <c r="H643" i="4" s="1"/>
  <c r="H644" i="4" s="1"/>
  <c r="H645" i="4" s="1"/>
  <c r="H646" i="4" s="1"/>
  <c r="H647" i="4" s="1"/>
  <c r="H648" i="4" s="1"/>
  <c r="H649" i="4" s="1"/>
  <c r="H650" i="4" s="1"/>
  <c r="H651" i="4" s="1"/>
  <c r="H652" i="4" s="1"/>
  <c r="H653" i="4" s="1"/>
  <c r="H654" i="4" s="1"/>
  <c r="H655" i="4" s="1"/>
  <c r="H656" i="4" s="1"/>
  <c r="H657" i="4" s="1"/>
  <c r="H658" i="4" s="1"/>
  <c r="H659" i="4" s="1"/>
  <c r="H660" i="4" s="1"/>
  <c r="H661" i="4" s="1"/>
  <c r="H662" i="4" s="1"/>
  <c r="H663" i="4" s="1"/>
  <c r="H664" i="4" s="1"/>
  <c r="H665" i="4" s="1"/>
  <c r="H666" i="4" s="1"/>
  <c r="H667" i="4" s="1"/>
  <c r="H668" i="4" s="1"/>
  <c r="H669" i="4" s="1"/>
  <c r="I2" i="4"/>
  <c r="I3" i="4" s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I265" i="4" s="1"/>
  <c r="I266" i="4" s="1"/>
  <c r="I267" i="4" s="1"/>
  <c r="I268" i="4" s="1"/>
  <c r="I269" i="4" s="1"/>
  <c r="I270" i="4" s="1"/>
  <c r="I271" i="4" s="1"/>
  <c r="I272" i="4" s="1"/>
  <c r="I273" i="4" s="1"/>
  <c r="I274" i="4" s="1"/>
  <c r="I275" i="4" s="1"/>
  <c r="I276" i="4" s="1"/>
  <c r="I277" i="4" s="1"/>
  <c r="I278" i="4" s="1"/>
  <c r="I279" i="4" s="1"/>
  <c r="I280" i="4" s="1"/>
  <c r="I281" i="4" s="1"/>
  <c r="I282" i="4" s="1"/>
  <c r="I283" i="4" s="1"/>
  <c r="I284" i="4" s="1"/>
  <c r="I285" i="4" s="1"/>
  <c r="I286" i="4" s="1"/>
  <c r="I287" i="4" s="1"/>
  <c r="I288" i="4" s="1"/>
  <c r="I289" i="4" s="1"/>
  <c r="I290" i="4" s="1"/>
  <c r="I291" i="4" s="1"/>
  <c r="I292" i="4" s="1"/>
  <c r="I293" i="4" s="1"/>
  <c r="I294" i="4" s="1"/>
  <c r="I295" i="4" s="1"/>
  <c r="I296" i="4" s="1"/>
  <c r="I297" i="4" s="1"/>
  <c r="I298" i="4" s="1"/>
  <c r="I299" i="4" s="1"/>
  <c r="I300" i="4" s="1"/>
  <c r="I301" i="4" s="1"/>
  <c r="I302" i="4" s="1"/>
  <c r="I303" i="4" s="1"/>
  <c r="I304" i="4" s="1"/>
  <c r="I305" i="4" s="1"/>
  <c r="I306" i="4" s="1"/>
  <c r="I307" i="4" s="1"/>
  <c r="I308" i="4" s="1"/>
  <c r="I309" i="4" s="1"/>
  <c r="I310" i="4" s="1"/>
  <c r="I311" i="4" s="1"/>
  <c r="I312" i="4" s="1"/>
  <c r="I313" i="4" s="1"/>
  <c r="I314" i="4" s="1"/>
  <c r="I315" i="4" s="1"/>
  <c r="I316" i="4" s="1"/>
  <c r="I317" i="4" s="1"/>
  <c r="I318" i="4" s="1"/>
  <c r="I319" i="4" s="1"/>
  <c r="I320" i="4" s="1"/>
  <c r="I321" i="4" s="1"/>
  <c r="I322" i="4" s="1"/>
  <c r="I323" i="4" s="1"/>
  <c r="I324" i="4" s="1"/>
  <c r="I325" i="4" s="1"/>
  <c r="I326" i="4" s="1"/>
  <c r="I327" i="4" s="1"/>
  <c r="I328" i="4" s="1"/>
  <c r="I329" i="4" s="1"/>
  <c r="I330" i="4" s="1"/>
  <c r="I331" i="4" s="1"/>
  <c r="I332" i="4" s="1"/>
  <c r="I333" i="4" s="1"/>
  <c r="I334" i="4" s="1"/>
  <c r="I335" i="4" s="1"/>
  <c r="I336" i="4" s="1"/>
  <c r="I337" i="4" s="1"/>
  <c r="I338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I351" i="4" s="1"/>
  <c r="I352" i="4" s="1"/>
  <c r="I353" i="4" s="1"/>
  <c r="I354" i="4" s="1"/>
  <c r="I355" i="4" s="1"/>
  <c r="I356" i="4" s="1"/>
  <c r="I357" i="4" s="1"/>
  <c r="I358" i="4" s="1"/>
  <c r="I359" i="4" s="1"/>
  <c r="I360" i="4" s="1"/>
  <c r="I361" i="4" s="1"/>
  <c r="I362" i="4" s="1"/>
  <c r="I363" i="4" s="1"/>
  <c r="I364" i="4" s="1"/>
  <c r="I365" i="4" s="1"/>
  <c r="I366" i="4" s="1"/>
  <c r="I367" i="4" s="1"/>
  <c r="I368" i="4" s="1"/>
  <c r="I369" i="4" s="1"/>
  <c r="I370" i="4" s="1"/>
  <c r="I371" i="4" s="1"/>
  <c r="I372" i="4" s="1"/>
  <c r="I373" i="4" s="1"/>
  <c r="I374" i="4" s="1"/>
  <c r="I375" i="4" s="1"/>
  <c r="I376" i="4" s="1"/>
  <c r="I377" i="4" s="1"/>
  <c r="I378" i="4" s="1"/>
  <c r="I379" i="4" s="1"/>
  <c r="I380" i="4" s="1"/>
  <c r="I381" i="4" s="1"/>
  <c r="I382" i="4" s="1"/>
  <c r="I383" i="4" s="1"/>
  <c r="I384" i="4" s="1"/>
  <c r="I385" i="4" s="1"/>
  <c r="I386" i="4" s="1"/>
  <c r="I387" i="4" s="1"/>
  <c r="I388" i="4" s="1"/>
  <c r="I389" i="4" s="1"/>
  <c r="I390" i="4" s="1"/>
  <c r="I391" i="4" s="1"/>
  <c r="I392" i="4" s="1"/>
  <c r="I393" i="4" s="1"/>
  <c r="I394" i="4" s="1"/>
  <c r="I395" i="4" s="1"/>
  <c r="I396" i="4" s="1"/>
  <c r="I397" i="4" s="1"/>
  <c r="I398" i="4" s="1"/>
  <c r="I399" i="4" s="1"/>
  <c r="I400" i="4" s="1"/>
  <c r="I401" i="4" s="1"/>
  <c r="I402" i="4" s="1"/>
  <c r="I403" i="4" s="1"/>
  <c r="I404" i="4" s="1"/>
  <c r="I405" i="4" s="1"/>
  <c r="I406" i="4" s="1"/>
  <c r="I407" i="4" s="1"/>
  <c r="I408" i="4" s="1"/>
  <c r="I409" i="4" s="1"/>
  <c r="I410" i="4" s="1"/>
  <c r="I411" i="4" s="1"/>
  <c r="I412" i="4" s="1"/>
  <c r="I413" i="4" s="1"/>
  <c r="I414" i="4" s="1"/>
  <c r="I415" i="4" s="1"/>
  <c r="I416" i="4" s="1"/>
  <c r="I417" i="4" s="1"/>
  <c r="I418" i="4" s="1"/>
  <c r="I419" i="4" s="1"/>
  <c r="I420" i="4" s="1"/>
  <c r="I421" i="4" s="1"/>
  <c r="I422" i="4" s="1"/>
  <c r="I423" i="4" s="1"/>
  <c r="I424" i="4" s="1"/>
  <c r="I425" i="4" s="1"/>
  <c r="I426" i="4" s="1"/>
  <c r="I427" i="4" s="1"/>
  <c r="I428" i="4" s="1"/>
  <c r="I429" i="4" s="1"/>
  <c r="I430" i="4" s="1"/>
  <c r="I431" i="4" s="1"/>
  <c r="I432" i="4" s="1"/>
  <c r="I433" i="4" s="1"/>
  <c r="I434" i="4" s="1"/>
  <c r="I435" i="4" s="1"/>
  <c r="I436" i="4" s="1"/>
  <c r="I437" i="4" s="1"/>
  <c r="I438" i="4" s="1"/>
  <c r="I439" i="4" s="1"/>
  <c r="I440" i="4" s="1"/>
  <c r="I441" i="4" s="1"/>
  <c r="I442" i="4" s="1"/>
  <c r="I443" i="4" s="1"/>
  <c r="I444" i="4" s="1"/>
  <c r="I445" i="4" s="1"/>
  <c r="I446" i="4" s="1"/>
  <c r="I447" i="4" s="1"/>
  <c r="I448" i="4" s="1"/>
  <c r="I449" i="4" s="1"/>
  <c r="I450" i="4" s="1"/>
  <c r="I451" i="4" s="1"/>
  <c r="I452" i="4" s="1"/>
  <c r="I453" i="4" s="1"/>
  <c r="I454" i="4" s="1"/>
  <c r="I455" i="4" s="1"/>
  <c r="I456" i="4" s="1"/>
  <c r="I457" i="4" s="1"/>
  <c r="I458" i="4" s="1"/>
  <c r="I459" i="4" s="1"/>
  <c r="I460" i="4" s="1"/>
  <c r="I461" i="4" s="1"/>
  <c r="I462" i="4" s="1"/>
  <c r="I463" i="4" s="1"/>
  <c r="I464" i="4" s="1"/>
  <c r="I465" i="4" s="1"/>
  <c r="I466" i="4" s="1"/>
  <c r="I467" i="4" s="1"/>
  <c r="I468" i="4" s="1"/>
  <c r="I469" i="4" s="1"/>
  <c r="I470" i="4" s="1"/>
  <c r="I471" i="4" s="1"/>
  <c r="I472" i="4" s="1"/>
  <c r="I473" i="4" s="1"/>
  <c r="I474" i="4" s="1"/>
  <c r="I475" i="4" s="1"/>
  <c r="I476" i="4" s="1"/>
  <c r="I477" i="4" s="1"/>
  <c r="I478" i="4" s="1"/>
  <c r="I479" i="4" s="1"/>
  <c r="I480" i="4" s="1"/>
  <c r="I481" i="4" s="1"/>
  <c r="I482" i="4" s="1"/>
  <c r="I483" i="4" s="1"/>
  <c r="I484" i="4" s="1"/>
  <c r="I485" i="4" s="1"/>
  <c r="I486" i="4" s="1"/>
  <c r="I487" i="4" s="1"/>
  <c r="I488" i="4" s="1"/>
  <c r="I489" i="4" s="1"/>
  <c r="I490" i="4" s="1"/>
  <c r="I491" i="4" s="1"/>
  <c r="I492" i="4" s="1"/>
  <c r="I493" i="4" s="1"/>
  <c r="I494" i="4" s="1"/>
  <c r="I495" i="4" s="1"/>
  <c r="I496" i="4" s="1"/>
  <c r="I497" i="4" s="1"/>
  <c r="I498" i="4" s="1"/>
  <c r="I499" i="4" s="1"/>
  <c r="I500" i="4" s="1"/>
  <c r="I501" i="4" s="1"/>
  <c r="I502" i="4" s="1"/>
  <c r="I503" i="4" s="1"/>
  <c r="I504" i="4" s="1"/>
  <c r="I505" i="4" s="1"/>
  <c r="I506" i="4" s="1"/>
  <c r="I507" i="4" s="1"/>
  <c r="I508" i="4" s="1"/>
  <c r="I509" i="4" s="1"/>
  <c r="I510" i="4" s="1"/>
  <c r="I511" i="4" s="1"/>
  <c r="I512" i="4" s="1"/>
  <c r="I513" i="4" s="1"/>
  <c r="I514" i="4" s="1"/>
  <c r="I515" i="4" s="1"/>
  <c r="I516" i="4" s="1"/>
  <c r="I517" i="4" s="1"/>
  <c r="I518" i="4" s="1"/>
  <c r="I519" i="4" s="1"/>
  <c r="I520" i="4" s="1"/>
  <c r="I521" i="4" s="1"/>
  <c r="I522" i="4" s="1"/>
  <c r="I523" i="4" s="1"/>
  <c r="I524" i="4" s="1"/>
  <c r="I525" i="4" s="1"/>
  <c r="I526" i="4" s="1"/>
  <c r="I527" i="4" s="1"/>
  <c r="I528" i="4" s="1"/>
  <c r="I529" i="4" s="1"/>
  <c r="I530" i="4" s="1"/>
  <c r="I531" i="4" s="1"/>
  <c r="I532" i="4" s="1"/>
  <c r="I533" i="4" s="1"/>
  <c r="I534" i="4" s="1"/>
  <c r="I535" i="4" s="1"/>
  <c r="I536" i="4" s="1"/>
  <c r="I537" i="4" s="1"/>
  <c r="I538" i="4" s="1"/>
  <c r="I539" i="4" s="1"/>
  <c r="I540" i="4" s="1"/>
  <c r="I541" i="4" s="1"/>
  <c r="I542" i="4" s="1"/>
  <c r="I543" i="4" s="1"/>
  <c r="I544" i="4" s="1"/>
  <c r="I545" i="4" s="1"/>
  <c r="I546" i="4" s="1"/>
  <c r="I547" i="4" s="1"/>
  <c r="I548" i="4" s="1"/>
  <c r="I549" i="4" s="1"/>
  <c r="I550" i="4" s="1"/>
  <c r="I551" i="4" s="1"/>
  <c r="I552" i="4" s="1"/>
  <c r="I553" i="4" s="1"/>
  <c r="I554" i="4" s="1"/>
  <c r="I555" i="4" s="1"/>
  <c r="I556" i="4" s="1"/>
  <c r="I557" i="4" s="1"/>
  <c r="I558" i="4" s="1"/>
  <c r="I559" i="4" s="1"/>
  <c r="I560" i="4" s="1"/>
  <c r="I561" i="4" s="1"/>
  <c r="I562" i="4" s="1"/>
  <c r="I563" i="4" s="1"/>
  <c r="I564" i="4" s="1"/>
  <c r="I565" i="4" s="1"/>
  <c r="I566" i="4" s="1"/>
  <c r="I567" i="4" s="1"/>
  <c r="I568" i="4" s="1"/>
  <c r="I569" i="4" s="1"/>
  <c r="I570" i="4" s="1"/>
  <c r="I571" i="4" s="1"/>
  <c r="I572" i="4" s="1"/>
  <c r="I573" i="4" s="1"/>
  <c r="I574" i="4" s="1"/>
  <c r="I575" i="4" s="1"/>
  <c r="I576" i="4" s="1"/>
  <c r="I577" i="4" s="1"/>
  <c r="I578" i="4" s="1"/>
  <c r="I579" i="4" s="1"/>
  <c r="I580" i="4" s="1"/>
  <c r="I581" i="4" s="1"/>
  <c r="I582" i="4" s="1"/>
  <c r="I583" i="4" s="1"/>
  <c r="I584" i="4" s="1"/>
  <c r="I585" i="4" s="1"/>
  <c r="I586" i="4" s="1"/>
  <c r="I587" i="4" s="1"/>
  <c r="I588" i="4" s="1"/>
  <c r="I589" i="4" s="1"/>
  <c r="I590" i="4" s="1"/>
  <c r="I591" i="4" s="1"/>
  <c r="I592" i="4" s="1"/>
  <c r="I593" i="4" s="1"/>
  <c r="I594" i="4" s="1"/>
  <c r="I595" i="4" s="1"/>
  <c r="I596" i="4" s="1"/>
  <c r="I597" i="4" s="1"/>
  <c r="I598" i="4" s="1"/>
  <c r="I599" i="4" s="1"/>
  <c r="I600" i="4" s="1"/>
  <c r="I601" i="4" s="1"/>
  <c r="I602" i="4" s="1"/>
  <c r="I603" i="4" s="1"/>
  <c r="I604" i="4" s="1"/>
  <c r="I605" i="4" s="1"/>
  <c r="I606" i="4" s="1"/>
  <c r="I607" i="4" s="1"/>
  <c r="I608" i="4" s="1"/>
  <c r="I609" i="4" s="1"/>
  <c r="I610" i="4" s="1"/>
  <c r="I611" i="4" s="1"/>
  <c r="I612" i="4" s="1"/>
  <c r="I613" i="4" s="1"/>
  <c r="I614" i="4" s="1"/>
  <c r="I615" i="4" s="1"/>
  <c r="I616" i="4" s="1"/>
  <c r="I617" i="4" s="1"/>
  <c r="I618" i="4" s="1"/>
  <c r="I619" i="4" s="1"/>
  <c r="I620" i="4" s="1"/>
  <c r="I621" i="4" s="1"/>
  <c r="I622" i="4" s="1"/>
  <c r="I623" i="4" s="1"/>
  <c r="I624" i="4" s="1"/>
  <c r="I625" i="4" s="1"/>
  <c r="I626" i="4" s="1"/>
  <c r="I627" i="4" s="1"/>
  <c r="I628" i="4" s="1"/>
  <c r="I629" i="4" s="1"/>
  <c r="I630" i="4" s="1"/>
  <c r="I631" i="4" s="1"/>
  <c r="I632" i="4" s="1"/>
  <c r="I633" i="4" s="1"/>
  <c r="I634" i="4" s="1"/>
  <c r="I635" i="4" s="1"/>
  <c r="I636" i="4" s="1"/>
  <c r="I637" i="4" s="1"/>
  <c r="I638" i="4" s="1"/>
  <c r="I639" i="4" s="1"/>
  <c r="I640" i="4" s="1"/>
  <c r="I641" i="4" s="1"/>
  <c r="I642" i="4" s="1"/>
  <c r="I643" i="4" s="1"/>
  <c r="I644" i="4" s="1"/>
  <c r="I645" i="4" s="1"/>
  <c r="I646" i="4" s="1"/>
  <c r="I647" i="4" s="1"/>
  <c r="I648" i="4" s="1"/>
  <c r="I649" i="4" s="1"/>
  <c r="I650" i="4" s="1"/>
  <c r="I651" i="4" s="1"/>
  <c r="I652" i="4" s="1"/>
  <c r="I653" i="4" s="1"/>
  <c r="I654" i="4" s="1"/>
  <c r="I655" i="4" s="1"/>
  <c r="I656" i="4" s="1"/>
  <c r="I657" i="4" s="1"/>
  <c r="I658" i="4" s="1"/>
  <c r="I659" i="4" s="1"/>
  <c r="I660" i="4" s="1"/>
  <c r="I661" i="4" s="1"/>
  <c r="I662" i="4" s="1"/>
  <c r="I663" i="4" s="1"/>
  <c r="I664" i="4" s="1"/>
  <c r="I665" i="4" s="1"/>
  <c r="I666" i="4" s="1"/>
  <c r="I667" i="4" s="1"/>
  <c r="I668" i="4" s="1"/>
  <c r="I669" i="4" s="1"/>
</calcChain>
</file>

<file path=xl/sharedStrings.xml><?xml version="1.0" encoding="utf-8"?>
<sst xmlns="http://schemas.openxmlformats.org/spreadsheetml/2006/main" count="959" uniqueCount="238">
  <si>
    <t>L_ENC</t>
    <phoneticPr fontId="1"/>
  </si>
  <si>
    <t>R_ENC</t>
    <phoneticPr fontId="1"/>
  </si>
  <si>
    <t>x</t>
    <phoneticPr fontId="1"/>
  </si>
  <si>
    <t>y</t>
    <phoneticPr fontId="1"/>
  </si>
  <si>
    <t>angle</t>
    <phoneticPr fontId="1"/>
  </si>
  <si>
    <t>タイヤ直径</t>
    <rPh sb="3" eb="5">
      <t>チョッケイ</t>
    </rPh>
    <phoneticPr fontId="1"/>
  </si>
  <si>
    <t>ENCパルス数</t>
    <rPh sb="6" eb="7">
      <t>スウ</t>
    </rPh>
    <phoneticPr fontId="1"/>
  </si>
  <si>
    <t>1パルスあたり</t>
    <phoneticPr fontId="1"/>
  </si>
  <si>
    <t>start</t>
  </si>
  <si>
    <t>+----+----+----+----+----+----+----+----+----+----+----+----+----+----+----+----+</t>
  </si>
  <si>
    <t>+----+----+----+    +....+....+....+....+....+....+....+....+....+....+....+....+</t>
  </si>
  <si>
    <t>+    +----+----+    +....+....+....+....+....+....+....+....+....+....+....+....+</t>
  </si>
  <si>
    <t>+    +    +----+    +....+....+....+....+....+....+....+....+....+....+....+....+</t>
  </si>
  <si>
    <t>|    :    :    :    :    :    :    :    :    :    :    :    :    :    :    :    |</t>
  </si>
  <si>
    <t>+....+....+....+....+....+....+....+....+....+....+....+....+....+....+....+....+</t>
  </si>
  <si>
    <t>status</t>
  </si>
  <si>
    <t>X</t>
  </si>
  <si>
    <t>Y</t>
  </si>
  <si>
    <t>A</t>
  </si>
  <si>
    <t xml:space="preserve">  S5</t>
  </si>
  <si>
    <t>S4</t>
  </si>
  <si>
    <t>S3</t>
  </si>
  <si>
    <t>S2</t>
  </si>
  <si>
    <t>S1</t>
  </si>
  <si>
    <t>S0</t>
  </si>
  <si>
    <t>S6</t>
  </si>
  <si>
    <t xml:space="preserve">   PWM_L PWM_R</t>
  </si>
  <si>
    <t>ENC_L ENC_C  ENC_R</t>
  </si>
  <si>
    <t>G_sum</t>
  </si>
  <si>
    <t>G_sum_global</t>
  </si>
  <si>
    <t xml:space="preserve">  0 :  0  0  1</t>
  </si>
  <si>
    <t xml:space="preserve">  0 : </t>
  </si>
  <si>
    <t xml:space="preserve">  4 : </t>
  </si>
  <si>
    <t xml:space="preserve">  8 : </t>
  </si>
  <si>
    <t xml:space="preserve"> 12 : </t>
  </si>
  <si>
    <t xml:space="preserve"> 14 : </t>
  </si>
  <si>
    <t xml:space="preserve"> 20 : </t>
  </si>
  <si>
    <t xml:space="preserve"> 26 : </t>
  </si>
  <si>
    <t xml:space="preserve"> 32 : </t>
  </si>
  <si>
    <t xml:space="preserve"> 34 : </t>
  </si>
  <si>
    <t xml:space="preserve"> 38 : </t>
  </si>
  <si>
    <t xml:space="preserve"> 52 : </t>
  </si>
  <si>
    <t xml:space="preserve"> 50 : </t>
  </si>
  <si>
    <t xml:space="preserve"> 56 : </t>
  </si>
  <si>
    <t xml:space="preserve"> 62 : </t>
  </si>
  <si>
    <t xml:space="preserve"> 72 : </t>
  </si>
  <si>
    <t xml:space="preserve">  3 :  0  0  1</t>
  </si>
  <si>
    <t xml:space="preserve"> 68 : </t>
  </si>
  <si>
    <t xml:space="preserve"> 48 : </t>
  </si>
  <si>
    <t xml:space="preserve"> 46 : </t>
  </si>
  <si>
    <t xml:space="preserve"> 44 : </t>
  </si>
  <si>
    <t xml:space="preserve">  0 :  0  0  2</t>
  </si>
  <si>
    <t xml:space="preserve"> 54 : </t>
  </si>
  <si>
    <t xml:space="preserve">  3 :  0  0  2</t>
  </si>
  <si>
    <t xml:space="preserve"> 64 : </t>
  </si>
  <si>
    <t xml:space="preserve"> 42 : </t>
  </si>
  <si>
    <t xml:space="preserve"> 36 : </t>
  </si>
  <si>
    <t xml:space="preserve"> 60 : </t>
  </si>
  <si>
    <t xml:space="preserve">  3 :  0  0  3</t>
  </si>
  <si>
    <t xml:space="preserve"> 16 : </t>
  </si>
  <si>
    <t xml:space="preserve"> 40 : </t>
  </si>
  <si>
    <t xml:space="preserve">  0 :  0  0  0</t>
  </si>
  <si>
    <t xml:space="preserve">  3 :  0  0  0</t>
  </si>
  <si>
    <t xml:space="preserve">  4 :  0  0  1</t>
  </si>
  <si>
    <t xml:space="preserve"> 10 :  0  0  0</t>
  </si>
  <si>
    <t xml:space="preserve">  4 :  0  0  0</t>
  </si>
  <si>
    <t xml:space="preserve"> 13 :  0  0  0</t>
  </si>
  <si>
    <t xml:space="preserve">  6 : </t>
  </si>
  <si>
    <t xml:space="preserve"> 99 :  0  0  1</t>
  </si>
  <si>
    <t xml:space="preserve">  0 :  1  0  0</t>
  </si>
  <si>
    <t xml:space="preserve">  0 :  0  2  0</t>
  </si>
  <si>
    <t xml:space="preserve">  0 :  0  2 16</t>
  </si>
  <si>
    <t xml:space="preserve"> 20 :  5  0  0</t>
  </si>
  <si>
    <t>-118 :  2  2 16</t>
  </si>
  <si>
    <t xml:space="preserve"> 32 :  1  2  0</t>
  </si>
  <si>
    <t>-124 :  2  2 25</t>
  </si>
  <si>
    <t>-111 :  6  6 32</t>
  </si>
  <si>
    <t xml:space="preserve">  9 :  2  2 68</t>
  </si>
  <si>
    <t xml:space="preserve">-254 : </t>
  </si>
  <si>
    <t xml:space="preserve">  4 :  0  2  1</t>
  </si>
  <si>
    <t xml:space="preserve"> 64 :  8  0 128</t>
  </si>
  <si>
    <t xml:space="preserve"> 33 :  2  4 129</t>
  </si>
  <si>
    <t>-95 :  3  2  0</t>
  </si>
  <si>
    <t xml:space="preserve">-128 : </t>
  </si>
  <si>
    <t>-96 :  8  0 32</t>
  </si>
  <si>
    <t xml:space="preserve"> 17 :  0 10 130</t>
  </si>
  <si>
    <t xml:space="preserve"> 36 :  2  2  0</t>
  </si>
  <si>
    <t xml:space="preserve">  1 :  2 10 64</t>
  </si>
  <si>
    <t>-128 :  0  3 32</t>
  </si>
  <si>
    <t xml:space="preserve"> 48 :  2  3 128</t>
  </si>
  <si>
    <t xml:space="preserve">  0 : 12  0  0</t>
  </si>
  <si>
    <t xml:space="preserve">  2 :  0  2  9</t>
  </si>
  <si>
    <t xml:space="preserve"> 34 :  0  2  0</t>
  </si>
  <si>
    <t xml:space="preserve">  0 :  2  0  2</t>
  </si>
  <si>
    <t xml:space="preserve"> 42 :  2  0 16</t>
  </si>
  <si>
    <t xml:space="preserve"> 42 :  2  8 64</t>
  </si>
  <si>
    <t xml:space="preserve">-214 : </t>
  </si>
  <si>
    <t xml:space="preserve">  1 :  0  2  0</t>
  </si>
  <si>
    <t xml:space="preserve">  4 :  8  2  0</t>
  </si>
  <si>
    <t xml:space="preserve">  0 :  3  2 10</t>
  </si>
  <si>
    <t xml:space="preserve"> 16 :  0 10  0</t>
  </si>
  <si>
    <t xml:space="preserve">  0 :  0  2 24</t>
  </si>
  <si>
    <t>-128 :  8  2  0</t>
  </si>
  <si>
    <t xml:space="preserve">  0 : 11  2  0</t>
  </si>
  <si>
    <t xml:space="preserve"> 96 :  1  0 128</t>
  </si>
  <si>
    <t xml:space="preserve">  9 :  8  0  0</t>
  </si>
  <si>
    <t xml:space="preserve"> 98 :  2  0  8</t>
  </si>
  <si>
    <t xml:space="preserve">-184 : </t>
  </si>
  <si>
    <t>-80 :  0  0 129</t>
  </si>
  <si>
    <t xml:space="preserve"> 42 :  2  0 170</t>
  </si>
  <si>
    <t xml:space="preserve">  0 :  4  0  1</t>
  </si>
  <si>
    <t>-64 :  0  8  4</t>
  </si>
  <si>
    <t xml:space="preserve"> 10 :  5  0 166</t>
  </si>
  <si>
    <t xml:space="preserve"> 41 :  2  9 200</t>
  </si>
  <si>
    <t xml:space="preserve"> 48 :  8  0  0</t>
  </si>
  <si>
    <t xml:space="preserve">-240 : </t>
  </si>
  <si>
    <t xml:space="preserve">  0 :  2  0 65</t>
  </si>
  <si>
    <t>ログの開始位置</t>
    <rPh sb="3" eb="7">
      <t>カイシイチ</t>
    </rPh>
    <phoneticPr fontId="1"/>
  </si>
  <si>
    <t>終了位置</t>
    <rPh sb="0" eb="2">
      <t>シュウリョウ</t>
    </rPh>
    <rPh sb="2" eb="4">
      <t>イチ</t>
    </rPh>
    <phoneticPr fontId="1"/>
  </si>
  <si>
    <t>ジャイロの微調整</t>
    <rPh sb="5" eb="8">
      <t>ビチョウセイ</t>
    </rPh>
    <phoneticPr fontId="1"/>
  </si>
  <si>
    <t>↑ログシート</t>
    <phoneticPr fontId="1"/>
  </si>
  <si>
    <t>↑経路シート</t>
    <rPh sb="1" eb="3">
      <t>ケイロ</t>
    </rPh>
    <phoneticPr fontId="1"/>
  </si>
  <si>
    <t>+    +    +    +    +....+....+....+....+....+....+....+....+....+....+....+....+</t>
  </si>
  <si>
    <t>+    +    +    +----+....+....+....+....+....+....+....+....+....+....+....+....+</t>
  </si>
  <si>
    <t xml:space="preserve">  0 :  1  2 32</t>
  </si>
  <si>
    <t>-128 :  0  2  3</t>
  </si>
  <si>
    <t>-110 :  0  8  0</t>
  </si>
  <si>
    <t xml:space="preserve">  0 :  0  0 128</t>
  </si>
  <si>
    <t xml:space="preserve"> 64 :  1  0  4</t>
  </si>
  <si>
    <t xml:space="preserve"> 15 :  0  0  1</t>
  </si>
  <si>
    <t xml:space="preserve">  0 :  0  0  3</t>
  </si>
  <si>
    <t xml:space="preserve">  2 :  0  0 16</t>
  </si>
  <si>
    <t xml:space="preserve"> 48 :  0  2  0</t>
  </si>
  <si>
    <t>-128 :  0  8  0</t>
  </si>
  <si>
    <t>-128 :  0  2 100</t>
  </si>
  <si>
    <t xml:space="preserve"> 16 :  0  2  0</t>
  </si>
  <si>
    <t xml:space="preserve">  0 :  4  0  8</t>
  </si>
  <si>
    <t>-88 :  1  2  0</t>
  </si>
  <si>
    <t>-127 :  0  0 16</t>
  </si>
  <si>
    <t xml:space="preserve"> 40 :  0  0 64</t>
  </si>
  <si>
    <t xml:space="preserve">  1 :  0  4  1</t>
  </si>
  <si>
    <t xml:space="preserve">  8 :  4  4 40</t>
  </si>
  <si>
    <t xml:space="preserve"> 48 :  0  0 176</t>
  </si>
  <si>
    <t xml:space="preserve">  0 : 12  0  4</t>
  </si>
  <si>
    <t xml:space="preserve"> 20 :  2  0 12</t>
  </si>
  <si>
    <t xml:space="preserve">  0 :  0  0  8</t>
  </si>
  <si>
    <t xml:space="preserve">  8 :  0  0  4</t>
  </si>
  <si>
    <t xml:space="preserve"> 64 :  0  0  0</t>
  </si>
  <si>
    <t xml:space="preserve">  8 :  0  0 128</t>
  </si>
  <si>
    <t xml:space="preserve">  0 :  0  2  8</t>
  </si>
  <si>
    <t xml:space="preserve">  0 :  0  0  4</t>
  </si>
  <si>
    <t>-128 :  0  0  0</t>
  </si>
  <si>
    <t xml:space="preserve">  </t>
  </si>
  <si>
    <t>|  55   54   53   48|    :    :    :    :    :    :    :    :    :    :    :    |</t>
  </si>
  <si>
    <t>|   4|  37   42   43|    :    :    :    :    :    :    :    :    :    :    :    |</t>
  </si>
  <si>
    <t>|   5|  36|  35|  48:    :    :    :    :    :    :    :    :    :    :    :    |</t>
  </si>
  <si>
    <t>|   6|  31   30   25|    :    :    :    :    :    :    :    :    :    :    :    |</t>
  </si>
  <si>
    <t>|   7   12|  29   24|    :    :    :    :    :    :    :    :    :    :    :    |</t>
  </si>
  <si>
    <t>+    +....+    +    +....+....+....+....+....+....+....+....+....+....+....+....+</t>
  </si>
  <si>
    <t>|   8|    |  34|  23|    :    :    :    :    :    :    :    :    :    :    :    |</t>
  </si>
  <si>
    <t>|   9|  20|  21|  22|    :    :    :    :    :    :    :    :    :    :    :    |</t>
  </si>
  <si>
    <t>|  10   15   16   17|    :    :    :    :    :    :    :    :    :    :    :    |</t>
  </si>
  <si>
    <t>+----+----+----+----+....+....+....+....+....+....+....+....+....+....+....+....+</t>
  </si>
  <si>
    <t>|  51   50   49   44|  55:  56:  57:  58:  59:  60:  61:  62:  63:  64:  65:  66|</t>
  </si>
  <si>
    <t>|   0|  33   38   39|  54:  55:  56:  57:  58:  59:  60:  61:  62:  63:  64:  65|</t>
  </si>
  <si>
    <t>|   1|  32|  31|  44:  49:  50:  51:  52:  53:  54:  55:  56:  57:  58:  59:  60|</t>
  </si>
  <si>
    <t>|   2|  27   26   21|  54:  55:  56:  57:  58:  59:  60:  61:  62:  63:  64:  65|</t>
  </si>
  <si>
    <t>|   3    8|  25   20|  55:  56:  57:  58:  59:  60:  61:  62:  63:  64:  65:  66|</t>
  </si>
  <si>
    <t>|   4|  13|  30|  19|  56:  57:  58:  59:  60:  61:  62:  63:  64:  65:  66:  67|</t>
  </si>
  <si>
    <t>|   5|  16|  17|  18|  57:  58:  59:  60:  61:  62:  63:  64:  65:  66:  67:  68|</t>
  </si>
  <si>
    <t>|   6   11   12   13|  58:  59:  60:  61:  62:  63:  64:  65:  66:  67:  68:  69|</t>
  </si>
  <si>
    <t>|  67:  66:  65:  64:  59:  60:  61:  62:  63:  64:  65:  66:  67:  68:  69:  70|</t>
  </si>
  <si>
    <t>|  68:  67:  66:  65:  60:  61:  62:  63:  64:  65:  66:  67:  68:  69:  70:  71|</t>
  </si>
  <si>
    <t>|  69:  68:  67:  66:  61:  62:  63:  64:  65:  66:  67:  68:  69:  70:  71:  72|</t>
  </si>
  <si>
    <t>|  70:  69:  68:  67:  62:  63:  64:  65:  66:  67:  68:  69:  70:  71:  72:  73|</t>
  </si>
  <si>
    <t>|  71:  70:  69:  68:  63:  64:  65:  66:  67:  68:  69:  70:  71:  72:  73:  74|</t>
  </si>
  <si>
    <t>|  72:  71:  70:  69:  64:  65:  66:  67:  68:  69:  70:  71:  72:  73:  74:  75|</t>
  </si>
  <si>
    <t>|  73:  72:  71:  70:  65:  66:  67:  68:  69:  70:  71:  72:  73:  74:  75:  76|</t>
  </si>
  <si>
    <t>|  74:  73:  72:  71:  66:  67:  68:  69:  70:  71:  72:  73:  74:  75:  76:  77|</t>
  </si>
  <si>
    <t>|  50   48   48   46|    :    :    :    :    :    :    :    :    :    :    :    |</t>
  </si>
  <si>
    <t>|   0|  36   42   42|    :    :    :    :    :    :    :    :    :    :    :    |</t>
  </si>
  <si>
    <t>|   2|  36|  32|  48:    :    :    :    :    :    :    :    :    :    :    :    |</t>
  </si>
  <si>
    <t>|   4|  30   30   26|    :    :    :    :    :    :    :    :    :    :    :    |</t>
  </si>
  <si>
    <t>|   6   10|  28   24|    :    :    :    :    :    :    :    :    :    :    :    |</t>
  </si>
  <si>
    <t>|   8|    |  30|  22|    :    :    :    :    :    :    :    :    :    :    :    |</t>
  </si>
  <si>
    <t>|  10|  18|  22|  22|    :    :    :    :    :    :    :    :    :    :    :    |</t>
  </si>
  <si>
    <t>|  12   16   16   18|    :    :    :    :    :    :    :    :    :    :    :    |</t>
  </si>
  <si>
    <t>|  50   48   48   46|  54:  54:  54:  56:  58:  60:  62:  64:  66:  68:  70:  72|</t>
  </si>
  <si>
    <t>|   0|  36   42   42|  52:  52:  52:  54:  56:  58:  60:  62:  64:  66:  68:  70|</t>
  </si>
  <si>
    <t>|   2|  36|  32|  48:  47:  48:  50:  52:  54:  56:  58:  60:  62:  64:  66:  68|</t>
  </si>
  <si>
    <t>|   4|  30   30   26|  49:  50:  50:  52:  54:  56:  58:  60:  62:  64:  66:  68|</t>
  </si>
  <si>
    <t>|   6   10|  28   24|  49:  54:  54:  56:  58:  60:  62:  64:  66:  68:  70:  72|</t>
  </si>
  <si>
    <t>|   8|  12|  30|  22|  51:  55:  55:  57:  59:  61:  63:  65:  67:  69:  71:  73|</t>
  </si>
  <si>
    <t>|  10|  18|  22|  22|  53:  57:  57:  59:  61:  63:  65:  67:  69:  71:  73:  75|</t>
  </si>
  <si>
    <t>|  12   16   16   18|  55:  59:  59:  61:  63:  65:  67:  69:  71:  73:  75:  77|</t>
  </si>
  <si>
    <t>|  65:  63:  61:  61:  57:  61:  61:  63:  65:  67:  69:  71:  73:  75:  77:  79|</t>
  </si>
  <si>
    <t>|  67:  65:  63:  63:  59:  63:  63:  65:  67:  69:  71:  73:  75:  77:  79:  81|</t>
  </si>
  <si>
    <t>|  69:  67:  65:  63:  61:  65:  65:  67:  69:  71:  73:  75:  77:  79:  81:  83|</t>
  </si>
  <si>
    <t>|  71:  69:  67:  65:  63:  67:  67:  69:  71:  73:  75:  77:  79:  81:  83:  85|</t>
  </si>
  <si>
    <t>|  73:  71:  69:  67:  65:  69:  69:  71:  73:  75:  77:  79:  81:  83:  85:  87|</t>
  </si>
  <si>
    <t>|  75:  73:  71:  69:  67:  71:  71:  73:  75:  77:  79:  81:  83:  85:  87:  89|</t>
  </si>
  <si>
    <t>|  77:  75:  73:  71:  69:  73:  73:  75:  77:  79:  81:  83:  85:  87:  89:  91|</t>
  </si>
  <si>
    <t>|  79:  77:  75:  73:  71:  75:  75:  77:  79:  81:  83:  85:  87:  89:  91:  93|</t>
  </si>
  <si>
    <t>| 404  384  364  352|    :    :    :    :    :    :    :    :    :    :    :    |</t>
  </si>
  <si>
    <t>|   0| 308  320  340|    :    :    :    :    :    :    :    :    :    :    :    |</t>
  </si>
  <si>
    <t>|  20| 288| 268| 352:    :    :    :    :    :    :    :    :    :    :    :    |</t>
  </si>
  <si>
    <t>|  40| 276  256  244|    :    :    :    :    :    :    :    :    :    :    :    |</t>
  </si>
  <si>
    <t>|  60   72| 236  224|    :    :    :    :    :    :    :    :    :    :    :    |</t>
  </si>
  <si>
    <t>|  80|    | 248| 204|    :    :    :    :    :    :    :    :    :    :    :    |</t>
  </si>
  <si>
    <t>| 100| 144| 164| 184|    :    :    :    :    :    :    :    :    :    :    :    |</t>
  </si>
  <si>
    <t>| 120  132  152  172|    :    :    :    :    :    :    :    :    :    :    :    |</t>
  </si>
  <si>
    <t>| 404  384  364  352| 396: 400: 412: 432: 452: 472: 492: 512: 532: 552: 572: 592|</t>
  </si>
  <si>
    <t>|   0| 308  320  340| 376: 388: 408: 428: 448: 468: 488: 508: 528: 548: 568: 588|</t>
  </si>
  <si>
    <t>|  20| 288| 268| 352: 364: 384: 404: 424: 444: 464: 484: 504: 524: 544: 564: 584|</t>
  </si>
  <si>
    <t>|  40| 276  256  244| 376: 388: 408: 428: 448: 468: 488: 508: 528: 548: 568: 588|</t>
  </si>
  <si>
    <t>|  60   72| 236  224| 396: 400: 412: 432: 452: 472: 492: 512: 532: 552: 572: 592|</t>
  </si>
  <si>
    <t>|  80|  84| 248| 204| 416: 420: 424: 436: 456: 476: 496: 516: 536: 556: 576: 596|</t>
  </si>
  <si>
    <t>| 100| 144| 164| 184| 436: 440: 444: 448: 460: 480: 500: 520: 540: 560: 580: 600|</t>
  </si>
  <si>
    <t>| 120  132  152  172| 456: 460: 464: 468: 472: 484: 504: 524: 544: 564: 584: 604|</t>
  </si>
  <si>
    <t>| 548: 528: 508: 488: 476: 480: 484: 488: 492: 496: 508: 528: 548: 568: 588: 608|</t>
  </si>
  <si>
    <t>| 552: 532: 512: 500: 496: 500: 504: 508: 512: 516: 520: 532: 552: 572: 592: 612|</t>
  </si>
  <si>
    <t>| 556: 536: 524: 520: 516: 520: 524: 528: 532: 536: 540: 544: 556: 576: 596: 616|</t>
  </si>
  <si>
    <t>| 560: 548: 544: 540: 536: 540: 544: 548: 552: 556: 560: 564: 568: 580: 600: 620|</t>
  </si>
  <si>
    <t>| 572: 568: 564: 560: 556: 560: 564: 568: 572: 576: 580: 584: 588: 592: 604: 624|</t>
  </si>
  <si>
    <t>| 592: 588: 584:    : 588: 580: 584: 588: 592: 596: 600: 604: 608: 612: 616: 628|</t>
  </si>
  <si>
    <t>| 612: 608: 604: 612: 600: 600: 604: 608: 612: 616: 620: 624: 628: 632: 636: 640|</t>
  </si>
  <si>
    <t>| 632: 628: 624: 624: 620: 620: 624: 628: 632: 636: 640: 644: 648: 652: 656: 660|</t>
  </si>
  <si>
    <t xml:space="preserve"> 98 :  3  4  1</t>
  </si>
  <si>
    <t xml:space="preserve"> 71 :  0  8 33</t>
  </si>
  <si>
    <t xml:space="preserve"> 96 :  0  0 65</t>
  </si>
  <si>
    <t xml:space="preserve"> 99 :  0  8 33</t>
  </si>
  <si>
    <t xml:space="preserve"> 99 : 10  8 32</t>
  </si>
  <si>
    <t>-82 :  2  0 27</t>
  </si>
  <si>
    <t xml:space="preserve">  0 :  9  0 49</t>
  </si>
  <si>
    <t>-50 :  0  0 69</t>
  </si>
  <si>
    <t>-12 :  0  0  3</t>
  </si>
  <si>
    <t>-12 :  0  0  2</t>
  </si>
  <si>
    <t xml:space="preserve"> 9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</si>
</sst>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0.0_);[Red]\(0.0\)"/>
    <numFmt numFmtId="178" formatCode="0.000_);[Red]\(0.000\)"/>
    <numFmt numFmtId="179" formatCode="0.000000_);[Red]\(0.000000\)"/>
    <numFmt numFmtId="180" formatCode="0.0000"/>
    <numFmt numFmtId="181" formatCode="0.000"/>
  </numFmts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0" fontId="0" fillId="0" borderId="0" xfId="0" applyNumberFormat="1"/>
    <xf numFmtId="176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2" fontId="0" fillId="0" borderId="0" xfId="0" applyNumberFormat="1"/>
    <xf numFmtId="176" fontId="0" fillId="0" borderId="1" xfId="0" applyNumberFormat="1" applyBorder="1"/>
    <xf numFmtId="177" fontId="0" fillId="0" borderId="1" xfId="0" applyNumberFormat="1" applyBorder="1"/>
    <xf numFmtId="179" fontId="0" fillId="0" borderId="1" xfId="0" applyNumberFormat="1" applyBorder="1"/>
    <xf numFmtId="0" fontId="0" fillId="0" borderId="1" xfId="0" applyBorder="1"/>
    <xf numFmtId="178" fontId="0" fillId="0" borderId="1" xfId="0" applyNumberFormat="1" applyBorder="1"/>
    <xf numFmtId="4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484760833467252E-2"/>
          <c:y val="4.4317330832260929E-2"/>
          <c:w val="0.89153370101297191"/>
          <c:h val="0.938010707241476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[0]!XData</c:f>
              <c:numCache>
                <c:formatCode>0.000</c:formatCode>
                <c:ptCount val="399"/>
                <c:pt idx="0">
                  <c:v>90</c:v>
                </c:pt>
                <c:pt idx="1">
                  <c:v>90</c:v>
                </c:pt>
                <c:pt idx="2">
                  <c:v>90.691150383789761</c:v>
                </c:pt>
                <c:pt idx="3">
                  <c:v>91.727875959474389</c:v>
                </c:pt>
                <c:pt idx="4">
                  <c:v>92.937389131106457</c:v>
                </c:pt>
                <c:pt idx="5">
                  <c:v>94.319689898685965</c:v>
                </c:pt>
                <c:pt idx="6">
                  <c:v>95.701990666265473</c:v>
                </c:pt>
                <c:pt idx="7">
                  <c:v>97.602654221687303</c:v>
                </c:pt>
                <c:pt idx="8">
                  <c:v>99.503317777109132</c:v>
                </c:pt>
                <c:pt idx="9">
                  <c:v>101.5767689284784</c:v>
                </c:pt>
                <c:pt idx="10">
                  <c:v>103.8230076757951</c:v>
                </c:pt>
                <c:pt idx="11">
                  <c:v>106.24203401905923</c:v>
                </c:pt>
                <c:pt idx="12">
                  <c:v>108.66106036232337</c:v>
                </c:pt>
                <c:pt idx="13">
                  <c:v>111.25287430153494</c:v>
                </c:pt>
                <c:pt idx="14">
                  <c:v>114.1902634326414</c:v>
                </c:pt>
                <c:pt idx="15">
                  <c:v>117.12765256374786</c:v>
                </c:pt>
                <c:pt idx="16">
                  <c:v>120.58340448269664</c:v>
                </c:pt>
                <c:pt idx="17">
                  <c:v>124.21194399759284</c:v>
                </c:pt>
                <c:pt idx="18">
                  <c:v>128.35884630033138</c:v>
                </c:pt>
                <c:pt idx="19">
                  <c:v>133.02411139091222</c:v>
                </c:pt>
                <c:pt idx="20">
                  <c:v>138.03495167338795</c:v>
                </c:pt>
                <c:pt idx="21">
                  <c:v>144.08251753154829</c:v>
                </c:pt>
                <c:pt idx="22">
                  <c:v>150.82123377349839</c:v>
                </c:pt>
                <c:pt idx="23">
                  <c:v>158.59667559113313</c:v>
                </c:pt>
                <c:pt idx="24">
                  <c:v>166.89048019661018</c:v>
                </c:pt>
                <c:pt idx="25">
                  <c:v>176.04822278182442</c:v>
                </c:pt>
                <c:pt idx="26">
                  <c:v>187.79777930625025</c:v>
                </c:pt>
                <c:pt idx="27">
                  <c:v>203.17587534557228</c:v>
                </c:pt>
                <c:pt idx="28">
                  <c:v>219.07233417273665</c:v>
                </c:pt>
                <c:pt idx="29">
                  <c:v>237.04224415127027</c:v>
                </c:pt>
                <c:pt idx="30">
                  <c:v>258.45485411442672</c:v>
                </c:pt>
                <c:pt idx="31">
                  <c:v>280.38551109282082</c:v>
                </c:pt>
                <c:pt idx="32">
                  <c:v>302.14348573280239</c:v>
                </c:pt>
                <c:pt idx="33">
                  <c:v>318.69068836140895</c:v>
                </c:pt>
                <c:pt idx="34">
                  <c:v>333.71405180330095</c:v>
                </c:pt>
                <c:pt idx="35">
                  <c:v>348.74657265072813</c:v>
                </c:pt>
                <c:pt idx="36">
                  <c:v>362.56115972373232</c:v>
                </c:pt>
                <c:pt idx="37">
                  <c:v>374.64892341261094</c:v>
                </c:pt>
                <c:pt idx="38">
                  <c:v>387.60009879355232</c:v>
                </c:pt>
                <c:pt idx="39">
                  <c:v>400.20590949766864</c:v>
                </c:pt>
                <c:pt idx="40">
                  <c:v>412.12099084813474</c:v>
                </c:pt>
                <c:pt idx="41">
                  <c:v>424.72680155225106</c:v>
                </c:pt>
                <c:pt idx="42">
                  <c:v>437.85065927160502</c:v>
                </c:pt>
                <c:pt idx="43">
                  <c:v>451.3198816677841</c:v>
                </c:pt>
                <c:pt idx="44">
                  <c:v>463.2349630182502</c:v>
                </c:pt>
                <c:pt idx="45">
                  <c:v>475.84845752241324</c:v>
                </c:pt>
                <c:pt idx="46">
                  <c:v>488.97231524176721</c:v>
                </c:pt>
                <c:pt idx="47">
                  <c:v>502.09617296112117</c:v>
                </c:pt>
                <c:pt idx="48">
                  <c:v>512.8024779426994</c:v>
                </c:pt>
                <c:pt idx="49">
                  <c:v>523.85414760110268</c:v>
                </c:pt>
                <c:pt idx="50">
                  <c:v>534.04861576200153</c:v>
                </c:pt>
                <c:pt idx="51">
                  <c:v>544.9342343066902</c:v>
                </c:pt>
                <c:pt idx="52">
                  <c:v>556.16542804327366</c:v>
                </c:pt>
                <c:pt idx="53">
                  <c:v>566.87173302485189</c:v>
                </c:pt>
                <c:pt idx="54">
                  <c:v>577.18219586991836</c:v>
                </c:pt>
                <c:pt idx="55">
                  <c:v>587.90243740906124</c:v>
                </c:pt>
                <c:pt idx="56">
                  <c:v>598.5324596501838</c:v>
                </c:pt>
                <c:pt idx="57">
                  <c:v>608.14481180409632</c:v>
                </c:pt>
                <c:pt idx="58">
                  <c:v>617.12311865705567</c:v>
                </c:pt>
                <c:pt idx="59">
                  <c:v>625.78998095245322</c:v>
                </c:pt>
                <c:pt idx="60">
                  <c:v>633.62043962295229</c:v>
                </c:pt>
                <c:pt idx="61">
                  <c:v>640.39544889568708</c:v>
                </c:pt>
                <c:pt idx="62">
                  <c:v>645.88925743847255</c:v>
                </c:pt>
                <c:pt idx="63">
                  <c:v>650.50970833024337</c:v>
                </c:pt>
                <c:pt idx="64">
                  <c:v>654.11461546842463</c:v>
                </c:pt>
                <c:pt idx="65">
                  <c:v>656.70628383878284</c:v>
                </c:pt>
                <c:pt idx="66">
                  <c:v>657.80801837322485</c:v>
                </c:pt>
                <c:pt idx="67">
                  <c:v>657.80801837322485</c:v>
                </c:pt>
                <c:pt idx="68">
                  <c:v>656.31708047002758</c:v>
                </c:pt>
                <c:pt idx="69">
                  <c:v>653.72541209966937</c:v>
                </c:pt>
                <c:pt idx="70">
                  <c:v>650.12050496148811</c:v>
                </c:pt>
                <c:pt idx="71">
                  <c:v>645.17225433682097</c:v>
                </c:pt>
                <c:pt idx="72">
                  <c:v>639.27833689166471</c:v>
                </c:pt>
                <c:pt idx="73">
                  <c:v>632.39226189314741</c:v>
                </c:pt>
                <c:pt idx="74">
                  <c:v>624.4310770073763</c:v>
                </c:pt>
                <c:pt idx="75">
                  <c:v>615.90400281351742</c:v>
                </c:pt>
                <c:pt idx="76">
                  <c:v>606.47678061791009</c:v>
                </c:pt>
                <c:pt idx="77">
                  <c:v>596.84797188960931</c:v>
                </c:pt>
                <c:pt idx="78">
                  <c:v>586.71623194103938</c:v>
                </c:pt>
                <c:pt idx="79">
                  <c:v>576.33631553012333</c:v>
                </c:pt>
                <c:pt idx="80">
                  <c:v>565.82194719319625</c:v>
                </c:pt>
                <c:pt idx="81">
                  <c:v>555.45469143634989</c:v>
                </c:pt>
                <c:pt idx="82">
                  <c:v>544.92106879318419</c:v>
                </c:pt>
                <c:pt idx="83">
                  <c:v>533.86939913478091</c:v>
                </c:pt>
                <c:pt idx="84">
                  <c:v>521.43627076907717</c:v>
                </c:pt>
                <c:pt idx="85">
                  <c:v>505.37681329670983</c:v>
                </c:pt>
                <c:pt idx="86">
                  <c:v>493.2890496078312</c:v>
                </c:pt>
                <c:pt idx="87">
                  <c:v>478.95641551958937</c:v>
                </c:pt>
                <c:pt idx="88">
                  <c:v>464.45109909293501</c:v>
                </c:pt>
                <c:pt idx="89">
                  <c:v>450.8091943583434</c:v>
                </c:pt>
                <c:pt idx="90">
                  <c:v>437.68533663898944</c:v>
                </c:pt>
                <c:pt idx="91">
                  <c:v>424.90684359646059</c:v>
                </c:pt>
                <c:pt idx="92">
                  <c:v>412.12056149635015</c:v>
                </c:pt>
                <c:pt idx="93">
                  <c:v>400.74435968918317</c:v>
                </c:pt>
                <c:pt idx="94">
                  <c:v>388.4247248854046</c:v>
                </c:pt>
                <c:pt idx="95">
                  <c:v>376.76291258893872</c:v>
                </c:pt>
                <c:pt idx="96">
                  <c:v>365.4240895237445</c:v>
                </c:pt>
                <c:pt idx="97">
                  <c:v>354.84818485495509</c:v>
                </c:pt>
                <c:pt idx="98">
                  <c:v>345.17706019729883</c:v>
                </c:pt>
                <c:pt idx="99">
                  <c:v>336.32675875703057</c:v>
                </c:pt>
                <c:pt idx="100">
                  <c:v>328.62059308130137</c:v>
                </c:pt>
                <c:pt idx="101">
                  <c:v>321.6234523570015</c:v>
                </c:pt>
                <c:pt idx="102">
                  <c:v>315.53629171692205</c:v>
                </c:pt>
                <c:pt idx="103">
                  <c:v>310.58804109225491</c:v>
                </c:pt>
                <c:pt idx="104">
                  <c:v>306.30101924106617</c:v>
                </c:pt>
                <c:pt idx="105">
                  <c:v>303.04396672360423</c:v>
                </c:pt>
                <c:pt idx="106">
                  <c:v>300.92441761128396</c:v>
                </c:pt>
                <c:pt idx="107">
                  <c:v>299.7143157455854</c:v>
                </c:pt>
                <c:pt idx="108">
                  <c:v>299.31632253667533</c:v>
                </c:pt>
                <c:pt idx="109">
                  <c:v>299.65401374423539</c:v>
                </c:pt>
                <c:pt idx="110">
                  <c:v>300.01582575233545</c:v>
                </c:pt>
                <c:pt idx="111">
                  <c:v>300.48618136286552</c:v>
                </c:pt>
                <c:pt idx="112">
                  <c:v>300.48618136286552</c:v>
                </c:pt>
                <c:pt idx="113">
                  <c:v>300.48618136286552</c:v>
                </c:pt>
                <c:pt idx="114">
                  <c:v>300.48618136286552</c:v>
                </c:pt>
                <c:pt idx="115">
                  <c:v>300.48618136286552</c:v>
                </c:pt>
                <c:pt idx="116">
                  <c:v>300.48618136286552</c:v>
                </c:pt>
                <c:pt idx="117">
                  <c:v>300.48618136286552</c:v>
                </c:pt>
                <c:pt idx="118">
                  <c:v>300.48618136286552</c:v>
                </c:pt>
                <c:pt idx="119">
                  <c:v>300.48618136286552</c:v>
                </c:pt>
                <c:pt idx="120">
                  <c:v>300.89623497204559</c:v>
                </c:pt>
                <c:pt idx="121">
                  <c:v>302.96652830206642</c:v>
                </c:pt>
                <c:pt idx="122">
                  <c:v>306.1575182784166</c:v>
                </c:pt>
                <c:pt idx="123">
                  <c:v>310.55897962217944</c:v>
                </c:pt>
                <c:pt idx="124">
                  <c:v>315.8317056976444</c:v>
                </c:pt>
                <c:pt idx="125">
                  <c:v>322.12854973961686</c:v>
                </c:pt>
                <c:pt idx="126">
                  <c:v>329.41245027701558</c:v>
                </c:pt>
                <c:pt idx="127">
                  <c:v>337.37363516278668</c:v>
                </c:pt>
                <c:pt idx="128">
                  <c:v>345.90070935664551</c:v>
                </c:pt>
                <c:pt idx="129">
                  <c:v>354.83917305538847</c:v>
                </c:pt>
                <c:pt idx="130">
                  <c:v>364.3125012686146</c:v>
                </c:pt>
                <c:pt idx="131">
                  <c:v>374.21690222999848</c:v>
                </c:pt>
                <c:pt idx="132">
                  <c:v>383.7732409863728</c:v>
                </c:pt>
                <c:pt idx="133">
                  <c:v>393.64266970494873</c:v>
                </c:pt>
                <c:pt idx="134">
                  <c:v>405.90311573223994</c:v>
                </c:pt>
                <c:pt idx="135">
                  <c:v>416.7821030522307</c:v>
                </c:pt>
                <c:pt idx="136">
                  <c:v>426.77937130701383</c:v>
                </c:pt>
                <c:pt idx="137">
                  <c:v>437.12137294989293</c:v>
                </c:pt>
                <c:pt idx="138">
                  <c:v>449.70414161539583</c:v>
                </c:pt>
                <c:pt idx="139">
                  <c:v>465.21714407971444</c:v>
                </c:pt>
                <c:pt idx="140">
                  <c:v>477.79991274521734</c:v>
                </c:pt>
                <c:pt idx="141">
                  <c:v>491.89087863347481</c:v>
                </c:pt>
                <c:pt idx="142">
                  <c:v>506.15368556915007</c:v>
                </c:pt>
                <c:pt idx="143">
                  <c:v>520.97722125727682</c:v>
                </c:pt>
                <c:pt idx="144">
                  <c:v>535.8279023607563</c:v>
                </c:pt>
                <c:pt idx="145">
                  <c:v>550.16053644899807</c:v>
                </c:pt>
                <c:pt idx="146">
                  <c:v>565.01121755247755</c:v>
                </c:pt>
                <c:pt idx="147">
                  <c:v>580.03458099436955</c:v>
                </c:pt>
                <c:pt idx="148">
                  <c:v>594.88526209784902</c:v>
                </c:pt>
                <c:pt idx="149">
                  <c:v>609.57220775338135</c:v>
                </c:pt>
                <c:pt idx="150">
                  <c:v>624.43194100486107</c:v>
                </c:pt>
                <c:pt idx="151">
                  <c:v>639.4644618522882</c:v>
                </c:pt>
                <c:pt idx="152">
                  <c:v>653.97861991187301</c:v>
                </c:pt>
                <c:pt idx="153">
                  <c:v>668.31999037551043</c:v>
                </c:pt>
                <c:pt idx="154">
                  <c:v>682.48857324320045</c:v>
                </c:pt>
                <c:pt idx="155">
                  <c:v>694.92928015141604</c:v>
                </c:pt>
                <c:pt idx="156">
                  <c:v>704.95096071636749</c:v>
                </c:pt>
                <c:pt idx="157">
                  <c:v>721.19299473542674</c:v>
                </c:pt>
                <c:pt idx="158">
                  <c:v>732.59002907065519</c:v>
                </c:pt>
                <c:pt idx="159">
                  <c:v>745.86226451235007</c:v>
                </c:pt>
                <c:pt idx="160">
                  <c:v>760.51343350642878</c:v>
                </c:pt>
                <c:pt idx="161">
                  <c:v>771.74462724301225</c:v>
                </c:pt>
                <c:pt idx="162">
                  <c:v>789.1961744337035</c:v>
                </c:pt>
                <c:pt idx="163">
                  <c:v>795.75810329338049</c:v>
                </c:pt>
                <c:pt idx="164">
                  <c:v>798.34833836956875</c:v>
                </c:pt>
                <c:pt idx="165">
                  <c:v>805.25563190607079</c:v>
                </c:pt>
                <c:pt idx="166">
                  <c:v>822.69654808573853</c:v>
                </c:pt>
                <c:pt idx="167">
                  <c:v>832.69381634052161</c:v>
                </c:pt>
                <c:pt idx="168">
                  <c:v>848.20681880484028</c:v>
                </c:pt>
                <c:pt idx="169">
                  <c:v>860.27248738819924</c:v>
                </c:pt>
                <c:pt idx="170">
                  <c:v>872.33815597155819</c:v>
                </c:pt>
                <c:pt idx="171">
                  <c:v>875.09602307632599</c:v>
                </c:pt>
                <c:pt idx="172">
                  <c:v>878.37099026323767</c:v>
                </c:pt>
                <c:pt idx="173">
                  <c:v>887.33405835373287</c:v>
                </c:pt>
                <c:pt idx="174">
                  <c:v>903.36416090019543</c:v>
                </c:pt>
                <c:pt idx="175">
                  <c:v>916.29166295379434</c:v>
                </c:pt>
                <c:pt idx="176">
                  <c:v>928.83605941529186</c:v>
                </c:pt>
                <c:pt idx="177">
                  <c:v>944.47359473030929</c:v>
                </c:pt>
                <c:pt idx="178">
                  <c:v>950.83171348476696</c:v>
                </c:pt>
                <c:pt idx="179">
                  <c:v>953.41721389548673</c:v>
                </c:pt>
                <c:pt idx="180">
                  <c:v>957.54139903351336</c:v>
                </c:pt>
                <c:pt idx="181">
                  <c:v>965.10240511989537</c:v>
                </c:pt>
                <c:pt idx="182">
                  <c:v>973.00709330111295</c:v>
                </c:pt>
                <c:pt idx="183">
                  <c:v>984.00492033585044</c:v>
                </c:pt>
                <c:pt idx="184">
                  <c:v>997.58036308185456</c:v>
                </c:pt>
                <c:pt idx="185">
                  <c:v>1007.7189848795032</c:v>
                </c:pt>
                <c:pt idx="186">
                  <c:v>1020.7230438390473</c:v>
                </c:pt>
                <c:pt idx="187">
                  <c:v>1023.4456448648613</c:v>
                </c:pt>
                <c:pt idx="188">
                  <c:v>1028.9210381109851</c:v>
                </c:pt>
                <c:pt idx="189">
                  <c:v>1042.3246398095714</c:v>
                </c:pt>
                <c:pt idx="190">
                  <c:v>1052.4198961071122</c:v>
                </c:pt>
                <c:pt idx="191">
                  <c:v>1060.4618799373566</c:v>
                </c:pt>
                <c:pt idx="192">
                  <c:v>1066.6216973392459</c:v>
                </c:pt>
                <c:pt idx="193">
                  <c:v>1071.7548785074869</c:v>
                </c:pt>
                <c:pt idx="194">
                  <c:v>1084.9300435059722</c:v>
                </c:pt>
                <c:pt idx="195">
                  <c:v>1096.9074662318681</c:v>
                </c:pt>
                <c:pt idx="196">
                  <c:v>1106.01504174501</c:v>
                </c:pt>
                <c:pt idx="197">
                  <c:v>1114.9507762107341</c:v>
                </c:pt>
                <c:pt idx="198">
                  <c:v>1130.0727883834982</c:v>
                </c:pt>
                <c:pt idx="199">
                  <c:v>1142.1016617027424</c:v>
                </c:pt>
                <c:pt idx="200">
                  <c:v>1159.2857664445198</c:v>
                </c:pt>
                <c:pt idx="201">
                  <c:v>1169.8001347814468</c:v>
                </c:pt>
                <c:pt idx="202">
                  <c:v>1184.1065703874294</c:v>
                </c:pt>
                <c:pt idx="203">
                  <c:v>1197.3788058291243</c:v>
                </c:pt>
                <c:pt idx="204">
                  <c:v>1208.7550076362913</c:v>
                </c:pt>
                <c:pt idx="205">
                  <c:v>1225.8193103470419</c:v>
                </c:pt>
                <c:pt idx="206">
                  <c:v>1235.1271118256332</c:v>
                </c:pt>
                <c:pt idx="207">
                  <c:v>1249.1143812370499</c:v>
                </c:pt>
                <c:pt idx="208">
                  <c:v>1256.0090489989693</c:v>
                </c:pt>
                <c:pt idx="209">
                  <c:v>1272.9009850156717</c:v>
                </c:pt>
                <c:pt idx="210">
                  <c:v>1282.7258865764068</c:v>
                </c:pt>
                <c:pt idx="211">
                  <c:v>1298.1915808440065</c:v>
                </c:pt>
                <c:pt idx="212">
                  <c:v>1306.0624586353094</c:v>
                </c:pt>
                <c:pt idx="213">
                  <c:v>1307.7640842764433</c:v>
                </c:pt>
                <c:pt idx="214">
                  <c:v>1319.7639201177344</c:v>
                </c:pt>
                <c:pt idx="215">
                  <c:v>1332.0156247338978</c:v>
                </c:pt>
                <c:pt idx="216">
                  <c:v>1340.0576085641421</c:v>
                </c:pt>
                <c:pt idx="217">
                  <c:v>1348.0995923943865</c:v>
                </c:pt>
                <c:pt idx="218">
                  <c:v>1365.456173933951</c:v>
                </c:pt>
                <c:pt idx="219">
                  <c:v>1375.3256026525271</c:v>
                </c:pt>
                <c:pt idx="220">
                  <c:v>1390.8103959868445</c:v>
                </c:pt>
                <c:pt idx="221">
                  <c:v>1398.1679556613233</c:v>
                </c:pt>
                <c:pt idx="222">
                  <c:v>1402.7878187127403</c:v>
                </c:pt>
                <c:pt idx="223">
                  <c:v>1410.1769837517047</c:v>
                </c:pt>
                <c:pt idx="224">
                  <c:v>1425.2989959244687</c:v>
                </c:pt>
                <c:pt idx="225">
                  <c:v>1436.0786763777749</c:v>
                </c:pt>
                <c:pt idx="226">
                  <c:v>1447.0294628700224</c:v>
                </c:pt>
                <c:pt idx="227">
                  <c:v>1456.5585664603716</c:v>
                </c:pt>
                <c:pt idx="228">
                  <c:v>1471.5328721023488</c:v>
                </c:pt>
                <c:pt idx="229">
                  <c:v>1484.9757146673057</c:v>
                </c:pt>
                <c:pt idx="230">
                  <c:v>1497.4664555100258</c:v>
                </c:pt>
                <c:pt idx="231">
                  <c:v>1503.6262729119151</c:v>
                </c:pt>
                <c:pt idx="232">
                  <c:v>1515.7748016767523</c:v>
                </c:pt>
                <c:pt idx="233">
                  <c:v>1529.7281319340493</c:v>
                </c:pt>
                <c:pt idx="234">
                  <c:v>1539.9944942705315</c:v>
                </c:pt>
                <c:pt idx="235">
                  <c:v>1547.0098418671275</c:v>
                </c:pt>
                <c:pt idx="236">
                  <c:v>1563.436021605499</c:v>
                </c:pt>
                <c:pt idx="237">
                  <c:v>1574.4338486402366</c:v>
                </c:pt>
                <c:pt idx="238">
                  <c:v>1588.3529734810763</c:v>
                </c:pt>
                <c:pt idx="239">
                  <c:v>1600.2100057529028</c:v>
                </c:pt>
                <c:pt idx="240">
                  <c:v>1614.7540190629193</c:v>
                </c:pt>
                <c:pt idx="241">
                  <c:v>1626.2673692399101</c:v>
                </c:pt>
                <c:pt idx="242">
                  <c:v>1636.5778320849765</c:v>
                </c:pt>
                <c:pt idx="243">
                  <c:v>1649.1222285464739</c:v>
                </c:pt>
                <c:pt idx="244">
                  <c:v>1662.5258302450602</c:v>
                </c:pt>
                <c:pt idx="245">
                  <c:v>1671.4615647107844</c:v>
                </c:pt>
                <c:pt idx="246">
                  <c:v>1681.2565044135974</c:v>
                </c:pt>
                <c:pt idx="247">
                  <c:v>1691.9106493534994</c:v>
                </c:pt>
                <c:pt idx="248">
                  <c:v>1700.3308606769704</c:v>
                </c:pt>
                <c:pt idx="249">
                  <c:v>1709.9539593323657</c:v>
                </c:pt>
                <c:pt idx="250">
                  <c:v>1719.4052169403433</c:v>
                </c:pt>
                <c:pt idx="251">
                  <c:v>1727.6535872163965</c:v>
                </c:pt>
                <c:pt idx="252">
                  <c:v>1736.0737985398675</c:v>
                </c:pt>
                <c:pt idx="253">
                  <c:v>1746.0405792900983</c:v>
                </c:pt>
                <c:pt idx="254">
                  <c:v>1757.3820884196714</c:v>
                </c:pt>
                <c:pt idx="255">
                  <c:v>1765.286776600889</c:v>
                </c:pt>
                <c:pt idx="256">
                  <c:v>1773.3633058295243</c:v>
                </c:pt>
                <c:pt idx="257">
                  <c:v>1782.8145634375019</c:v>
                </c:pt>
                <c:pt idx="258">
                  <c:v>1792.0939799980617</c:v>
                </c:pt>
                <c:pt idx="259">
                  <c:v>1799.6549860844439</c:v>
                </c:pt>
                <c:pt idx="260">
                  <c:v>1808.2470384553326</c:v>
                </c:pt>
                <c:pt idx="261">
                  <c:v>1819.2448654900702</c:v>
                </c:pt>
                <c:pt idx="262">
                  <c:v>1829.7271693825544</c:v>
                </c:pt>
                <c:pt idx="263">
                  <c:v>1838.3192217534431</c:v>
                </c:pt>
                <c:pt idx="264">
                  <c:v>1847.598638314003</c:v>
                </c:pt>
                <c:pt idx="265">
                  <c:v>1858.4246243013226</c:v>
                </c:pt>
                <c:pt idx="266">
                  <c:v>1868.3914050515534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</c:numCache>
            </c:numRef>
          </c:xVal>
          <c:yVal>
            <c:numRef>
              <c:f>[0]!YData</c:f>
              <c:numCache>
                <c:formatCode>0.000</c:formatCode>
                <c:ptCount val="399"/>
                <c:pt idx="0">
                  <c:v>-90</c:v>
                </c:pt>
                <c:pt idx="1">
                  <c:v>-90</c:v>
                </c:pt>
                <c:pt idx="2">
                  <c:v>-90</c:v>
                </c:pt>
                <c:pt idx="3">
                  <c:v>-90</c:v>
                </c:pt>
                <c:pt idx="4">
                  <c:v>-90</c:v>
                </c:pt>
                <c:pt idx="5">
                  <c:v>-90</c:v>
                </c:pt>
                <c:pt idx="6">
                  <c:v>-90</c:v>
                </c:pt>
                <c:pt idx="7">
                  <c:v>-90</c:v>
                </c:pt>
                <c:pt idx="8">
                  <c:v>-90</c:v>
                </c:pt>
                <c:pt idx="9">
                  <c:v>-90</c:v>
                </c:pt>
                <c:pt idx="10">
                  <c:v>-90</c:v>
                </c:pt>
                <c:pt idx="11">
                  <c:v>-90</c:v>
                </c:pt>
                <c:pt idx="12">
                  <c:v>-90</c:v>
                </c:pt>
                <c:pt idx="13">
                  <c:v>-90</c:v>
                </c:pt>
                <c:pt idx="14">
                  <c:v>-90</c:v>
                </c:pt>
                <c:pt idx="15">
                  <c:v>-90</c:v>
                </c:pt>
                <c:pt idx="16">
                  <c:v>-90</c:v>
                </c:pt>
                <c:pt idx="17">
                  <c:v>-90</c:v>
                </c:pt>
                <c:pt idx="18">
                  <c:v>-90</c:v>
                </c:pt>
                <c:pt idx="19">
                  <c:v>-90</c:v>
                </c:pt>
                <c:pt idx="20">
                  <c:v>-90</c:v>
                </c:pt>
                <c:pt idx="21">
                  <c:v>-90</c:v>
                </c:pt>
                <c:pt idx="22">
                  <c:v>-90</c:v>
                </c:pt>
                <c:pt idx="23">
                  <c:v>-90</c:v>
                </c:pt>
                <c:pt idx="24">
                  <c:v>-90</c:v>
                </c:pt>
                <c:pt idx="25">
                  <c:v>-90</c:v>
                </c:pt>
                <c:pt idx="26">
                  <c:v>-90</c:v>
                </c:pt>
                <c:pt idx="27">
                  <c:v>-90</c:v>
                </c:pt>
                <c:pt idx="28">
                  <c:v>-90</c:v>
                </c:pt>
                <c:pt idx="29">
                  <c:v>-90</c:v>
                </c:pt>
                <c:pt idx="30">
                  <c:v>-89.252255183259919</c:v>
                </c:pt>
                <c:pt idx="31">
                  <c:v>-88.486419766114835</c:v>
                </c:pt>
                <c:pt idx="32">
                  <c:v>-87.726614549104752</c:v>
                </c:pt>
                <c:pt idx="33">
                  <c:v>-86.569521422703019</c:v>
                </c:pt>
                <c:pt idx="34">
                  <c:v>-86.044894010957961</c:v>
                </c:pt>
                <c:pt idx="35">
                  <c:v>-86.044894010957961</c:v>
                </c:pt>
                <c:pt idx="36">
                  <c:v>-86.527310021758012</c:v>
                </c:pt>
                <c:pt idx="37">
                  <c:v>-86.949424031208068</c:v>
                </c:pt>
                <c:pt idx="38">
                  <c:v>-87.401689041333114</c:v>
                </c:pt>
                <c:pt idx="39">
                  <c:v>-87.841893651188158</c:v>
                </c:pt>
                <c:pt idx="40">
                  <c:v>-88.257977460503213</c:v>
                </c:pt>
                <c:pt idx="41">
                  <c:v>-88.698182070358257</c:v>
                </c:pt>
                <c:pt idx="42">
                  <c:v>-89.156477280618304</c:v>
                </c:pt>
                <c:pt idx="43">
                  <c:v>-89.626832891148354</c:v>
                </c:pt>
                <c:pt idx="44">
                  <c:v>-90.042916700463408</c:v>
                </c:pt>
                <c:pt idx="45">
                  <c:v>-90.042916700463408</c:v>
                </c:pt>
                <c:pt idx="46">
                  <c:v>-90.501211910723455</c:v>
                </c:pt>
                <c:pt idx="47">
                  <c:v>-90.959507120983503</c:v>
                </c:pt>
                <c:pt idx="48">
                  <c:v>-91.33337952935355</c:v>
                </c:pt>
                <c:pt idx="49">
                  <c:v>-91.7193123379936</c:v>
                </c:pt>
                <c:pt idx="50">
                  <c:v>-91.7193123379936</c:v>
                </c:pt>
                <c:pt idx="51">
                  <c:v>-91.7193123379936</c:v>
                </c:pt>
                <c:pt idx="52">
                  <c:v>-91.7193123379936</c:v>
                </c:pt>
                <c:pt idx="53">
                  <c:v>-92.093184746363647</c:v>
                </c:pt>
                <c:pt idx="54">
                  <c:v>-93.176858058929525</c:v>
                </c:pt>
                <c:pt idx="55">
                  <c:v>-95.067125881992055</c:v>
                </c:pt>
                <c:pt idx="56">
                  <c:v>-98.115235710147445</c:v>
                </c:pt>
                <c:pt idx="57">
                  <c:v>-101.99887807229115</c:v>
                </c:pt>
                <c:pt idx="58">
                  <c:v>-107.1825059507143</c:v>
                </c:pt>
                <c:pt idx="59">
                  <c:v>-113.47934999268676</c:v>
                </c:pt>
                <c:pt idx="60">
                  <c:v>-121.0411360323784</c:v>
                </c:pt>
                <c:pt idx="61">
                  <c:v>-129.11527767301919</c:v>
                </c:pt>
                <c:pt idx="62">
                  <c:v>-137.90720917997945</c:v>
                </c:pt>
                <c:pt idx="63">
                  <c:v>-147.3805373932056</c:v>
                </c:pt>
                <c:pt idx="64">
                  <c:v>-157.28493835458946</c:v>
                </c:pt>
                <c:pt idx="65">
                  <c:v>-167.67955244047027</c:v>
                </c:pt>
                <c:pt idx="66">
                  <c:v>-178.1618563329545</c:v>
                </c:pt>
                <c:pt idx="67">
                  <c:v>-188.5291120898008</c:v>
                </c:pt>
                <c:pt idx="68">
                  <c:v>-199.13768650416569</c:v>
                </c:pt>
                <c:pt idx="69">
                  <c:v>-209.5323005900465</c:v>
                </c:pt>
                <c:pt idx="70">
                  <c:v>-219.43670155143036</c:v>
                </c:pt>
                <c:pt idx="71">
                  <c:v>-228.74300745840833</c:v>
                </c:pt>
                <c:pt idx="72">
                  <c:v>-237.48109941423337</c:v>
                </c:pt>
                <c:pt idx="73">
                  <c:v>-245.68760403258958</c:v>
                </c:pt>
                <c:pt idx="74">
                  <c:v>-252.85588710114072</c:v>
                </c:pt>
                <c:pt idx="75">
                  <c:v>-259.05116914243621</c:v>
                </c:pt>
                <c:pt idx="76">
                  <c:v>-264.49397841478054</c:v>
                </c:pt>
                <c:pt idx="77">
                  <c:v>-268.78100026596928</c:v>
                </c:pt>
                <c:pt idx="78">
                  <c:v>-271.68622994592988</c:v>
                </c:pt>
                <c:pt idx="79">
                  <c:v>-273.51648926667298</c:v>
                </c:pt>
                <c:pt idx="80">
                  <c:v>-274.25172552407406</c:v>
                </c:pt>
                <c:pt idx="81">
                  <c:v>-274.25172552407406</c:v>
                </c:pt>
                <c:pt idx="82">
                  <c:v>-273.883883315839</c:v>
                </c:pt>
                <c:pt idx="83">
                  <c:v>-273.49795050719894</c:v>
                </c:pt>
                <c:pt idx="84">
                  <c:v>-273.06377609747886</c:v>
                </c:pt>
                <c:pt idx="85">
                  <c:v>-272.50296748492377</c:v>
                </c:pt>
                <c:pt idx="86">
                  <c:v>-272.0808534754737</c:v>
                </c:pt>
                <c:pt idx="87">
                  <c:v>-271.58034686426862</c:v>
                </c:pt>
                <c:pt idx="88">
                  <c:v>-271.07381005292854</c:v>
                </c:pt>
                <c:pt idx="89">
                  <c:v>-270.59742424226346</c:v>
                </c:pt>
                <c:pt idx="90">
                  <c:v>-270.13912903200338</c:v>
                </c:pt>
                <c:pt idx="91">
                  <c:v>-269.69289422201331</c:v>
                </c:pt>
                <c:pt idx="92">
                  <c:v>-269.69289422201331</c:v>
                </c:pt>
                <c:pt idx="93">
                  <c:v>-270.48839574641448</c:v>
                </c:pt>
                <c:pt idx="94">
                  <c:v>-272.21980750496613</c:v>
                </c:pt>
                <c:pt idx="95">
                  <c:v>-274.69860222954412</c:v>
                </c:pt>
                <c:pt idx="96">
                  <c:v>-278.38280917552572</c:v>
                </c:pt>
                <c:pt idx="97">
                  <c:v>-283.09150530715925</c:v>
                </c:pt>
                <c:pt idx="98">
                  <c:v>-289.13469470422325</c:v>
                </c:pt>
                <c:pt idx="99">
                  <c:v>-296.04930800975654</c:v>
                </c:pt>
                <c:pt idx="100">
                  <c:v>-303.4910656996118</c:v>
                </c:pt>
                <c:pt idx="101">
                  <c:v>-311.82993329568342</c:v>
                </c:pt>
                <c:pt idx="102">
                  <c:v>-320.85452006973225</c:v>
                </c:pt>
                <c:pt idx="103">
                  <c:v>-330.16082597671021</c:v>
                </c:pt>
                <c:pt idx="104">
                  <c:v>-339.78963470501105</c:v>
                </c:pt>
                <c:pt idx="105">
                  <c:v>-349.81381161771895</c:v>
                </c:pt>
                <c:pt idx="106">
                  <c:v>-359.78550619005938</c:v>
                </c:pt>
                <c:pt idx="107">
                  <c:v>-371.29885636705023</c:v>
                </c:pt>
                <c:pt idx="108">
                  <c:v>-382.69589070227869</c:v>
                </c:pt>
                <c:pt idx="109">
                  <c:v>-392.36610165338158</c:v>
                </c:pt>
                <c:pt idx="110">
                  <c:v>-402.72704195813469</c:v>
                </c:pt>
                <c:pt idx="111">
                  <c:v>-416.19626435431377</c:v>
                </c:pt>
                <c:pt idx="112">
                  <c:v>-431.91993558553071</c:v>
                </c:pt>
                <c:pt idx="113">
                  <c:v>-445.05179287753606</c:v>
                </c:pt>
                <c:pt idx="114">
                  <c:v>-459.22037574522602</c:v>
                </c:pt>
                <c:pt idx="115">
                  <c:v>-473.38895861291599</c:v>
                </c:pt>
                <c:pt idx="116">
                  <c:v>-486.69360350086873</c:v>
                </c:pt>
                <c:pt idx="117">
                  <c:v>-498.78873521718941</c:v>
                </c:pt>
                <c:pt idx="118">
                  <c:v>-511.40222972135246</c:v>
                </c:pt>
                <c:pt idx="119">
                  <c:v>-524.36129941741035</c:v>
                </c:pt>
                <c:pt idx="120">
                  <c:v>-536.10369842946386</c:v>
                </c:pt>
                <c:pt idx="121">
                  <c:v>-547.84491535328698</c:v>
                </c:pt>
                <c:pt idx="122">
                  <c:v>-558.97321988696217</c:v>
                </c:pt>
                <c:pt idx="123">
                  <c:v>-569.86721899472968</c:v>
                </c:pt>
                <c:pt idx="124">
                  <c:v>-579.78377446937839</c:v>
                </c:pt>
                <c:pt idx="125">
                  <c:v>-588.45063676477594</c:v>
                </c:pt>
                <c:pt idx="126">
                  <c:v>-596.54022785838208</c:v>
                </c:pt>
                <c:pt idx="127">
                  <c:v>-603.70851092693317</c:v>
                </c:pt>
                <c:pt idx="128">
                  <c:v>-609.90379296822869</c:v>
                </c:pt>
                <c:pt idx="129">
                  <c:v>-615.48916498672725</c:v>
                </c:pt>
                <c:pt idx="130">
                  <c:v>-620.10961587849806</c:v>
                </c:pt>
                <c:pt idx="131">
                  <c:v>-623.71452301667932</c:v>
                </c:pt>
                <c:pt idx="132">
                  <c:v>-626.09718587329905</c:v>
                </c:pt>
                <c:pt idx="133">
                  <c:v>-627.83743244056302</c:v>
                </c:pt>
                <c:pt idx="134">
                  <c:v>-628.26557665014809</c:v>
                </c:pt>
                <c:pt idx="135">
                  <c:v>-627.88567404164303</c:v>
                </c:pt>
                <c:pt idx="136">
                  <c:v>-627.18659694444193</c:v>
                </c:pt>
                <c:pt idx="137">
                  <c:v>-626.46341374044084</c:v>
                </c:pt>
                <c:pt idx="138">
                  <c:v>-625.58354084223947</c:v>
                </c:pt>
                <c:pt idx="139">
                  <c:v>-624.49876603623784</c:v>
                </c:pt>
                <c:pt idx="140">
                  <c:v>-623.61889313803647</c:v>
                </c:pt>
                <c:pt idx="141">
                  <c:v>-622.13787294419649</c:v>
                </c:pt>
                <c:pt idx="142">
                  <c:v>-620.6387915284804</c:v>
                </c:pt>
                <c:pt idx="143">
                  <c:v>-619.60222893607886</c:v>
                </c:pt>
                <c:pt idx="144">
                  <c:v>-619.08363172446877</c:v>
                </c:pt>
                <c:pt idx="145">
                  <c:v>-618.58312511326369</c:v>
                </c:pt>
                <c:pt idx="146">
                  <c:v>-618.06452790165361</c:v>
                </c:pt>
                <c:pt idx="147">
                  <c:v>-617.53990048990852</c:v>
                </c:pt>
                <c:pt idx="148">
                  <c:v>-617.02130327829843</c:v>
                </c:pt>
                <c:pt idx="149">
                  <c:v>-617.02130327829843</c:v>
                </c:pt>
                <c:pt idx="150">
                  <c:v>-617.02130327829843</c:v>
                </c:pt>
                <c:pt idx="151">
                  <c:v>-617.02130327829843</c:v>
                </c:pt>
                <c:pt idx="152">
                  <c:v>-617.02130327829843</c:v>
                </c:pt>
                <c:pt idx="153">
                  <c:v>-617.02130327829843</c:v>
                </c:pt>
                <c:pt idx="154">
                  <c:v>-617.02130327829843</c:v>
                </c:pt>
                <c:pt idx="155">
                  <c:v>-617.02130327829843</c:v>
                </c:pt>
                <c:pt idx="156">
                  <c:v>-617.02130327829843</c:v>
                </c:pt>
                <c:pt idx="157">
                  <c:v>-617.02130327829843</c:v>
                </c:pt>
                <c:pt idx="158">
                  <c:v>-616.62331006938837</c:v>
                </c:pt>
                <c:pt idx="159">
                  <c:v>-615.69522495758702</c:v>
                </c:pt>
                <c:pt idx="160">
                  <c:v>-614.67071541858547</c:v>
                </c:pt>
                <c:pt idx="161">
                  <c:v>-614.67071541858547</c:v>
                </c:pt>
                <c:pt idx="162">
                  <c:v>-614.67071541858547</c:v>
                </c:pt>
                <c:pt idx="163">
                  <c:v>-614.89986302371551</c:v>
                </c:pt>
                <c:pt idx="164">
                  <c:v>-614.99031602574053</c:v>
                </c:pt>
                <c:pt idx="165">
                  <c:v>-615.23152403114057</c:v>
                </c:pt>
                <c:pt idx="166">
                  <c:v>-615.84057424477567</c:v>
                </c:pt>
                <c:pt idx="167">
                  <c:v>-616.53965134197676</c:v>
                </c:pt>
                <c:pt idx="168">
                  <c:v>-617.6244261479784</c:v>
                </c:pt>
                <c:pt idx="169">
                  <c:v>-618.46813988597967</c:v>
                </c:pt>
                <c:pt idx="170">
                  <c:v>-619.31185362398094</c:v>
                </c:pt>
                <c:pt idx="171">
                  <c:v>-619.5047024783812</c:v>
                </c:pt>
                <c:pt idx="172">
                  <c:v>-619.73371049298157</c:v>
                </c:pt>
                <c:pt idx="173">
                  <c:v>-620.36046926978247</c:v>
                </c:pt>
                <c:pt idx="174">
                  <c:v>-621.4814032359842</c:v>
                </c:pt>
                <c:pt idx="175">
                  <c:v>-622.38538224098556</c:v>
                </c:pt>
                <c:pt idx="176">
                  <c:v>-623.70385143794067</c:v>
                </c:pt>
                <c:pt idx="177">
                  <c:v>-625.34742262866564</c:v>
                </c:pt>
                <c:pt idx="178">
                  <c:v>-626.01568783808125</c:v>
                </c:pt>
                <c:pt idx="179">
                  <c:v>-626.19648363908152</c:v>
                </c:pt>
                <c:pt idx="180">
                  <c:v>-626.62995296410793</c:v>
                </c:pt>
                <c:pt idx="181">
                  <c:v>-627.42464672665619</c:v>
                </c:pt>
                <c:pt idx="182">
                  <c:v>-628.25546293295668</c:v>
                </c:pt>
                <c:pt idx="183">
                  <c:v>-629.41138113302691</c:v>
                </c:pt>
                <c:pt idx="184">
                  <c:v>-630.83821766123867</c:v>
                </c:pt>
                <c:pt idx="185">
                  <c:v>-631.90382975192847</c:v>
                </c:pt>
                <c:pt idx="186">
                  <c:v>-633.73143105262193</c:v>
                </c:pt>
                <c:pt idx="187">
                  <c:v>-634.21149907117751</c:v>
                </c:pt>
                <c:pt idx="188">
                  <c:v>-634.98101540831158</c:v>
                </c:pt>
                <c:pt idx="189">
                  <c:v>-636.38979071464723</c:v>
                </c:pt>
                <c:pt idx="190">
                  <c:v>-637.80858646123818</c:v>
                </c:pt>
                <c:pt idx="191">
                  <c:v>-638.93881358140391</c:v>
                </c:pt>
                <c:pt idx="192">
                  <c:v>-639.80451946067978</c:v>
                </c:pt>
                <c:pt idx="193">
                  <c:v>-640.525941026743</c:v>
                </c:pt>
                <c:pt idx="194">
                  <c:v>-642.37758971297183</c:v>
                </c:pt>
                <c:pt idx="195">
                  <c:v>-644.06090670045262</c:v>
                </c:pt>
                <c:pt idx="196">
                  <c:v>-645.01815145988576</c:v>
                </c:pt>
                <c:pt idx="197">
                  <c:v>-645.9573349974429</c:v>
                </c:pt>
                <c:pt idx="198">
                  <c:v>-647.54672252253954</c:v>
                </c:pt>
                <c:pt idx="199">
                  <c:v>-648.81100805386643</c:v>
                </c:pt>
                <c:pt idx="200">
                  <c:v>-650.61713024147627</c:v>
                </c:pt>
                <c:pt idx="201">
                  <c:v>-651.35236649887736</c:v>
                </c:pt>
                <c:pt idx="202">
                  <c:v>-652.35276993107891</c:v>
                </c:pt>
                <c:pt idx="203">
                  <c:v>-653.28085504288026</c:v>
                </c:pt>
                <c:pt idx="204">
                  <c:v>-654.07635656728144</c:v>
                </c:pt>
                <c:pt idx="205">
                  <c:v>-655.26960885388326</c:v>
                </c:pt>
                <c:pt idx="206">
                  <c:v>-655.92047373748426</c:v>
                </c:pt>
                <c:pt idx="207">
                  <c:v>-656.40891994841934</c:v>
                </c:pt>
                <c:pt idx="208">
                  <c:v>-656.89104208442006</c:v>
                </c:pt>
                <c:pt idx="209">
                  <c:v>-658.07224131762189</c:v>
                </c:pt>
                <c:pt idx="210">
                  <c:v>-658.75926536142288</c:v>
                </c:pt>
                <c:pt idx="211">
                  <c:v>-660.38477533027174</c:v>
                </c:pt>
                <c:pt idx="212">
                  <c:v>-661.49095506490198</c:v>
                </c:pt>
                <c:pt idx="213">
                  <c:v>-661.79099757649919</c:v>
                </c:pt>
                <c:pt idx="214">
                  <c:v>-664.3416414235287</c:v>
                </c:pt>
                <c:pt idx="215">
                  <c:v>-666.50194750702872</c:v>
                </c:pt>
                <c:pt idx="216">
                  <c:v>-667.63217462719444</c:v>
                </c:pt>
                <c:pt idx="217">
                  <c:v>-668.76240174736017</c:v>
                </c:pt>
                <c:pt idx="218">
                  <c:v>-671.82283536565183</c:v>
                </c:pt>
                <c:pt idx="219">
                  <c:v>-673.56308193291579</c:v>
                </c:pt>
                <c:pt idx="220">
                  <c:v>-676.29346878845058</c:v>
                </c:pt>
                <c:pt idx="221">
                  <c:v>-677.32750636647449</c:v>
                </c:pt>
                <c:pt idx="222">
                  <c:v>-677.97678577593138</c:v>
                </c:pt>
                <c:pt idx="223">
                  <c:v>-678.75341831660364</c:v>
                </c:pt>
                <c:pt idx="224">
                  <c:v>-680.34280584170028</c:v>
                </c:pt>
                <c:pt idx="225">
                  <c:v>-681.85779113043304</c:v>
                </c:pt>
                <c:pt idx="226">
                  <c:v>-683.39682380470117</c:v>
                </c:pt>
                <c:pt idx="227">
                  <c:v>-685.0770618696456</c:v>
                </c:pt>
                <c:pt idx="228">
                  <c:v>-687.71743597170121</c:v>
                </c:pt>
                <c:pt idx="229">
                  <c:v>-690.08777181331925</c:v>
                </c:pt>
                <c:pt idx="230">
                  <c:v>-691.84323095740638</c:v>
                </c:pt>
                <c:pt idx="231">
                  <c:v>-692.70893683668226</c:v>
                </c:pt>
                <c:pt idx="232">
                  <c:v>-694.41630120969853</c:v>
                </c:pt>
                <c:pt idx="233">
                  <c:v>-696.87664980479576</c:v>
                </c:pt>
                <c:pt idx="234">
                  <c:v>-698.31949293692219</c:v>
                </c:pt>
                <c:pt idx="235">
                  <c:v>-699.30543574387525</c:v>
                </c:pt>
                <c:pt idx="236">
                  <c:v>-701.61398475527744</c:v>
                </c:pt>
                <c:pt idx="237">
                  <c:v>-702.76990295534767</c:v>
                </c:pt>
                <c:pt idx="238">
                  <c:v>-704.23286192731166</c:v>
                </c:pt>
                <c:pt idx="239">
                  <c:v>-705.47908623676244</c:v>
                </c:pt>
                <c:pt idx="240">
                  <c:v>-707.52311400727478</c:v>
                </c:pt>
                <c:pt idx="241">
                  <c:v>-708.73321587297335</c:v>
                </c:pt>
                <c:pt idx="242">
                  <c:v>-709.81688918553925</c:v>
                </c:pt>
                <c:pt idx="243">
                  <c:v>-711.13535838249436</c:v>
                </c:pt>
                <c:pt idx="244">
                  <c:v>-712.54413368883002</c:v>
                </c:pt>
                <c:pt idx="245">
                  <c:v>-713.48331722638716</c:v>
                </c:pt>
                <c:pt idx="246">
                  <c:v>-714.51280687332473</c:v>
                </c:pt>
                <c:pt idx="247">
                  <c:v>-715.63260262964286</c:v>
                </c:pt>
                <c:pt idx="248">
                  <c:v>-716.51760250157167</c:v>
                </c:pt>
                <c:pt idx="249">
                  <c:v>-717.52903092663314</c:v>
                </c:pt>
                <c:pt idx="250">
                  <c:v>-718.5223981298185</c:v>
                </c:pt>
                <c:pt idx="251">
                  <c:v>-719.3893367798712</c:v>
                </c:pt>
                <c:pt idx="252">
                  <c:v>-720.27433665180001</c:v>
                </c:pt>
                <c:pt idx="253">
                  <c:v>-721.3218875206137</c:v>
                </c:pt>
                <c:pt idx="254">
                  <c:v>-722.51392816443615</c:v>
                </c:pt>
                <c:pt idx="255">
                  <c:v>-723.34474437073663</c:v>
                </c:pt>
                <c:pt idx="256">
                  <c:v>-724.19362179891323</c:v>
                </c:pt>
                <c:pt idx="257">
                  <c:v>-725.18698900209858</c:v>
                </c:pt>
                <c:pt idx="258">
                  <c:v>-726.16229498340783</c:v>
                </c:pt>
                <c:pt idx="259">
                  <c:v>-726.9569887459561</c:v>
                </c:pt>
                <c:pt idx="260">
                  <c:v>-727.86004983976102</c:v>
                </c:pt>
                <c:pt idx="261">
                  <c:v>-729.01596803983125</c:v>
                </c:pt>
                <c:pt idx="262">
                  <c:v>-730.11770257427327</c:v>
                </c:pt>
                <c:pt idx="263">
                  <c:v>-731.02076366807819</c:v>
                </c:pt>
                <c:pt idx="264">
                  <c:v>-731.99606964938744</c:v>
                </c:pt>
                <c:pt idx="265">
                  <c:v>-733.13392662758156</c:v>
                </c:pt>
                <c:pt idx="266">
                  <c:v>-734.18147749639525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24-46E8-9CFB-3E7863F7C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43744"/>
        <c:axId val="171746624"/>
      </c:scatterChart>
      <c:valAx>
        <c:axId val="171743744"/>
        <c:scaling>
          <c:orientation val="minMax"/>
          <c:max val="288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746624"/>
        <c:crosses val="max"/>
        <c:crossBetween val="midCat"/>
        <c:majorUnit val="180"/>
      </c:valAx>
      <c:valAx>
        <c:axId val="171746624"/>
        <c:scaling>
          <c:orientation val="minMax"/>
          <c:max val="0"/>
          <c:min val="-28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743744"/>
        <c:crosses val="autoZero"/>
        <c:crossBetween val="midCat"/>
        <c:majorUnit val="18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484760833467252E-2"/>
          <c:y val="4.4317330832260929E-2"/>
          <c:w val="0.89153370101297191"/>
          <c:h val="0.938010707241476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[0]!XData</c:f>
              <c:numCache>
                <c:formatCode>0.000</c:formatCode>
                <c:ptCount val="399"/>
                <c:pt idx="0">
                  <c:v>90</c:v>
                </c:pt>
                <c:pt idx="1">
                  <c:v>90</c:v>
                </c:pt>
                <c:pt idx="2">
                  <c:v>90.691150383789761</c:v>
                </c:pt>
                <c:pt idx="3">
                  <c:v>91.727875959474389</c:v>
                </c:pt>
                <c:pt idx="4">
                  <c:v>92.937389131106457</c:v>
                </c:pt>
                <c:pt idx="5">
                  <c:v>94.319689898685965</c:v>
                </c:pt>
                <c:pt idx="6">
                  <c:v>95.701990666265473</c:v>
                </c:pt>
                <c:pt idx="7">
                  <c:v>97.602654221687303</c:v>
                </c:pt>
                <c:pt idx="8">
                  <c:v>99.503317777109132</c:v>
                </c:pt>
                <c:pt idx="9">
                  <c:v>101.5767689284784</c:v>
                </c:pt>
                <c:pt idx="10">
                  <c:v>103.8230076757951</c:v>
                </c:pt>
                <c:pt idx="11">
                  <c:v>106.24203401905923</c:v>
                </c:pt>
                <c:pt idx="12">
                  <c:v>108.66106036232337</c:v>
                </c:pt>
                <c:pt idx="13">
                  <c:v>111.25287430153494</c:v>
                </c:pt>
                <c:pt idx="14">
                  <c:v>114.1902634326414</c:v>
                </c:pt>
                <c:pt idx="15">
                  <c:v>117.12765256374786</c:v>
                </c:pt>
                <c:pt idx="16">
                  <c:v>120.58340448269664</c:v>
                </c:pt>
                <c:pt idx="17">
                  <c:v>124.21194399759284</c:v>
                </c:pt>
                <c:pt idx="18">
                  <c:v>128.35884630033138</c:v>
                </c:pt>
                <c:pt idx="19">
                  <c:v>133.02411139091222</c:v>
                </c:pt>
                <c:pt idx="20">
                  <c:v>138.03495167338795</c:v>
                </c:pt>
                <c:pt idx="21">
                  <c:v>144.08251753154829</c:v>
                </c:pt>
                <c:pt idx="22">
                  <c:v>150.82123377349839</c:v>
                </c:pt>
                <c:pt idx="23">
                  <c:v>158.59667559113313</c:v>
                </c:pt>
                <c:pt idx="24">
                  <c:v>166.89048019661018</c:v>
                </c:pt>
                <c:pt idx="25">
                  <c:v>176.04822278182442</c:v>
                </c:pt>
                <c:pt idx="26">
                  <c:v>187.79777930625025</c:v>
                </c:pt>
                <c:pt idx="27">
                  <c:v>203.17587534557228</c:v>
                </c:pt>
                <c:pt idx="28">
                  <c:v>219.07233417273665</c:v>
                </c:pt>
                <c:pt idx="29">
                  <c:v>237.04224415127027</c:v>
                </c:pt>
                <c:pt idx="30">
                  <c:v>258.45485411442672</c:v>
                </c:pt>
                <c:pt idx="31">
                  <c:v>280.38551109282082</c:v>
                </c:pt>
                <c:pt idx="32">
                  <c:v>302.14348573280239</c:v>
                </c:pt>
                <c:pt idx="33">
                  <c:v>318.69068836140895</c:v>
                </c:pt>
                <c:pt idx="34">
                  <c:v>333.71405180330095</c:v>
                </c:pt>
                <c:pt idx="35">
                  <c:v>348.74657265072813</c:v>
                </c:pt>
                <c:pt idx="36">
                  <c:v>362.56115972373232</c:v>
                </c:pt>
                <c:pt idx="37">
                  <c:v>374.64892341261094</c:v>
                </c:pt>
                <c:pt idx="38">
                  <c:v>387.60009879355232</c:v>
                </c:pt>
                <c:pt idx="39">
                  <c:v>400.20590949766864</c:v>
                </c:pt>
                <c:pt idx="40">
                  <c:v>412.12099084813474</c:v>
                </c:pt>
                <c:pt idx="41">
                  <c:v>424.72680155225106</c:v>
                </c:pt>
                <c:pt idx="42">
                  <c:v>437.85065927160502</c:v>
                </c:pt>
                <c:pt idx="43">
                  <c:v>451.3198816677841</c:v>
                </c:pt>
                <c:pt idx="44">
                  <c:v>463.2349630182502</c:v>
                </c:pt>
                <c:pt idx="45">
                  <c:v>475.84845752241324</c:v>
                </c:pt>
                <c:pt idx="46">
                  <c:v>488.97231524176721</c:v>
                </c:pt>
                <c:pt idx="47">
                  <c:v>502.09617296112117</c:v>
                </c:pt>
                <c:pt idx="48">
                  <c:v>512.8024779426994</c:v>
                </c:pt>
                <c:pt idx="49">
                  <c:v>523.85414760110268</c:v>
                </c:pt>
                <c:pt idx="50">
                  <c:v>534.04861576200153</c:v>
                </c:pt>
                <c:pt idx="51">
                  <c:v>544.9342343066902</c:v>
                </c:pt>
                <c:pt idx="52">
                  <c:v>556.16542804327366</c:v>
                </c:pt>
                <c:pt idx="53">
                  <c:v>566.87173302485189</c:v>
                </c:pt>
                <c:pt idx="54">
                  <c:v>577.18219586991836</c:v>
                </c:pt>
                <c:pt idx="55">
                  <c:v>587.90243740906124</c:v>
                </c:pt>
                <c:pt idx="56">
                  <c:v>598.5324596501838</c:v>
                </c:pt>
                <c:pt idx="57">
                  <c:v>608.14481180409632</c:v>
                </c:pt>
                <c:pt idx="58">
                  <c:v>617.12311865705567</c:v>
                </c:pt>
                <c:pt idx="59">
                  <c:v>625.78998095245322</c:v>
                </c:pt>
                <c:pt idx="60">
                  <c:v>633.62043962295229</c:v>
                </c:pt>
                <c:pt idx="61">
                  <c:v>640.39544889568708</c:v>
                </c:pt>
                <c:pt idx="62">
                  <c:v>645.88925743847255</c:v>
                </c:pt>
                <c:pt idx="63">
                  <c:v>650.50970833024337</c:v>
                </c:pt>
                <c:pt idx="64">
                  <c:v>654.11461546842463</c:v>
                </c:pt>
                <c:pt idx="65">
                  <c:v>656.70628383878284</c:v>
                </c:pt>
                <c:pt idx="66">
                  <c:v>657.80801837322485</c:v>
                </c:pt>
                <c:pt idx="67">
                  <c:v>657.80801837322485</c:v>
                </c:pt>
                <c:pt idx="68">
                  <c:v>656.31708047002758</c:v>
                </c:pt>
                <c:pt idx="69">
                  <c:v>653.72541209966937</c:v>
                </c:pt>
                <c:pt idx="70">
                  <c:v>650.12050496148811</c:v>
                </c:pt>
                <c:pt idx="71">
                  <c:v>645.17225433682097</c:v>
                </c:pt>
                <c:pt idx="72">
                  <c:v>639.27833689166471</c:v>
                </c:pt>
                <c:pt idx="73">
                  <c:v>632.39226189314741</c:v>
                </c:pt>
                <c:pt idx="74">
                  <c:v>624.4310770073763</c:v>
                </c:pt>
                <c:pt idx="75">
                  <c:v>615.90400281351742</c:v>
                </c:pt>
                <c:pt idx="76">
                  <c:v>606.47678061791009</c:v>
                </c:pt>
                <c:pt idx="77">
                  <c:v>596.84797188960931</c:v>
                </c:pt>
                <c:pt idx="78">
                  <c:v>586.71623194103938</c:v>
                </c:pt>
                <c:pt idx="79">
                  <c:v>576.33631553012333</c:v>
                </c:pt>
                <c:pt idx="80">
                  <c:v>565.82194719319625</c:v>
                </c:pt>
                <c:pt idx="81">
                  <c:v>555.45469143634989</c:v>
                </c:pt>
                <c:pt idx="82">
                  <c:v>544.92106879318419</c:v>
                </c:pt>
                <c:pt idx="83">
                  <c:v>533.86939913478091</c:v>
                </c:pt>
                <c:pt idx="84">
                  <c:v>521.43627076907717</c:v>
                </c:pt>
                <c:pt idx="85">
                  <c:v>505.37681329670983</c:v>
                </c:pt>
                <c:pt idx="86">
                  <c:v>493.2890496078312</c:v>
                </c:pt>
                <c:pt idx="87">
                  <c:v>478.95641551958937</c:v>
                </c:pt>
                <c:pt idx="88">
                  <c:v>464.45109909293501</c:v>
                </c:pt>
                <c:pt idx="89">
                  <c:v>450.8091943583434</c:v>
                </c:pt>
                <c:pt idx="90">
                  <c:v>437.68533663898944</c:v>
                </c:pt>
                <c:pt idx="91">
                  <c:v>424.90684359646059</c:v>
                </c:pt>
                <c:pt idx="92">
                  <c:v>412.12056149635015</c:v>
                </c:pt>
                <c:pt idx="93">
                  <c:v>400.74435968918317</c:v>
                </c:pt>
                <c:pt idx="94">
                  <c:v>388.4247248854046</c:v>
                </c:pt>
                <c:pt idx="95">
                  <c:v>376.76291258893872</c:v>
                </c:pt>
                <c:pt idx="96">
                  <c:v>365.4240895237445</c:v>
                </c:pt>
                <c:pt idx="97">
                  <c:v>354.84818485495509</c:v>
                </c:pt>
                <c:pt idx="98">
                  <c:v>345.17706019729883</c:v>
                </c:pt>
                <c:pt idx="99">
                  <c:v>336.32675875703057</c:v>
                </c:pt>
                <c:pt idx="100">
                  <c:v>328.62059308130137</c:v>
                </c:pt>
                <c:pt idx="101">
                  <c:v>321.6234523570015</c:v>
                </c:pt>
                <c:pt idx="102">
                  <c:v>315.53629171692205</c:v>
                </c:pt>
                <c:pt idx="103">
                  <c:v>310.58804109225491</c:v>
                </c:pt>
                <c:pt idx="104">
                  <c:v>306.30101924106617</c:v>
                </c:pt>
                <c:pt idx="105">
                  <c:v>303.04396672360423</c:v>
                </c:pt>
                <c:pt idx="106">
                  <c:v>300.92441761128396</c:v>
                </c:pt>
                <c:pt idx="107">
                  <c:v>299.7143157455854</c:v>
                </c:pt>
                <c:pt idx="108">
                  <c:v>299.31632253667533</c:v>
                </c:pt>
                <c:pt idx="109">
                  <c:v>299.65401374423539</c:v>
                </c:pt>
                <c:pt idx="110">
                  <c:v>300.01582575233545</c:v>
                </c:pt>
                <c:pt idx="111">
                  <c:v>300.48618136286552</c:v>
                </c:pt>
                <c:pt idx="112">
                  <c:v>300.48618136286552</c:v>
                </c:pt>
                <c:pt idx="113">
                  <c:v>300.48618136286552</c:v>
                </c:pt>
                <c:pt idx="114">
                  <c:v>300.48618136286552</c:v>
                </c:pt>
                <c:pt idx="115">
                  <c:v>300.48618136286552</c:v>
                </c:pt>
                <c:pt idx="116">
                  <c:v>300.48618136286552</c:v>
                </c:pt>
                <c:pt idx="117">
                  <c:v>300.48618136286552</c:v>
                </c:pt>
                <c:pt idx="118">
                  <c:v>300.48618136286552</c:v>
                </c:pt>
                <c:pt idx="119">
                  <c:v>300.48618136286552</c:v>
                </c:pt>
                <c:pt idx="120">
                  <c:v>300.89623497204559</c:v>
                </c:pt>
                <c:pt idx="121">
                  <c:v>302.96652830206642</c:v>
                </c:pt>
                <c:pt idx="122">
                  <c:v>306.1575182784166</c:v>
                </c:pt>
                <c:pt idx="123">
                  <c:v>310.55897962217944</c:v>
                </c:pt>
                <c:pt idx="124">
                  <c:v>315.8317056976444</c:v>
                </c:pt>
                <c:pt idx="125">
                  <c:v>322.12854973961686</c:v>
                </c:pt>
                <c:pt idx="126">
                  <c:v>329.41245027701558</c:v>
                </c:pt>
                <c:pt idx="127">
                  <c:v>337.37363516278668</c:v>
                </c:pt>
                <c:pt idx="128">
                  <c:v>345.90070935664551</c:v>
                </c:pt>
                <c:pt idx="129">
                  <c:v>354.83917305538847</c:v>
                </c:pt>
                <c:pt idx="130">
                  <c:v>364.3125012686146</c:v>
                </c:pt>
                <c:pt idx="131">
                  <c:v>374.21690222999848</c:v>
                </c:pt>
                <c:pt idx="132">
                  <c:v>383.7732409863728</c:v>
                </c:pt>
                <c:pt idx="133">
                  <c:v>393.64266970494873</c:v>
                </c:pt>
                <c:pt idx="134">
                  <c:v>405.90311573223994</c:v>
                </c:pt>
                <c:pt idx="135">
                  <c:v>416.7821030522307</c:v>
                </c:pt>
                <c:pt idx="136">
                  <c:v>426.77937130701383</c:v>
                </c:pt>
                <c:pt idx="137">
                  <c:v>437.12137294989293</c:v>
                </c:pt>
                <c:pt idx="138">
                  <c:v>449.70414161539583</c:v>
                </c:pt>
                <c:pt idx="139">
                  <c:v>465.21714407971444</c:v>
                </c:pt>
                <c:pt idx="140">
                  <c:v>477.79991274521734</c:v>
                </c:pt>
                <c:pt idx="141">
                  <c:v>491.89087863347481</c:v>
                </c:pt>
                <c:pt idx="142">
                  <c:v>506.15368556915007</c:v>
                </c:pt>
                <c:pt idx="143">
                  <c:v>520.97722125727682</c:v>
                </c:pt>
                <c:pt idx="144">
                  <c:v>535.8279023607563</c:v>
                </c:pt>
                <c:pt idx="145">
                  <c:v>550.16053644899807</c:v>
                </c:pt>
                <c:pt idx="146">
                  <c:v>565.01121755247755</c:v>
                </c:pt>
                <c:pt idx="147">
                  <c:v>580.03458099436955</c:v>
                </c:pt>
                <c:pt idx="148">
                  <c:v>594.88526209784902</c:v>
                </c:pt>
                <c:pt idx="149">
                  <c:v>609.57220775338135</c:v>
                </c:pt>
                <c:pt idx="150">
                  <c:v>624.43194100486107</c:v>
                </c:pt>
                <c:pt idx="151">
                  <c:v>639.4644618522882</c:v>
                </c:pt>
                <c:pt idx="152">
                  <c:v>653.97861991187301</c:v>
                </c:pt>
                <c:pt idx="153">
                  <c:v>668.31999037551043</c:v>
                </c:pt>
                <c:pt idx="154">
                  <c:v>682.48857324320045</c:v>
                </c:pt>
                <c:pt idx="155">
                  <c:v>694.92928015141604</c:v>
                </c:pt>
                <c:pt idx="156">
                  <c:v>704.95096071636749</c:v>
                </c:pt>
                <c:pt idx="157">
                  <c:v>721.19299473542674</c:v>
                </c:pt>
                <c:pt idx="158">
                  <c:v>732.59002907065519</c:v>
                </c:pt>
                <c:pt idx="159">
                  <c:v>745.86226451235007</c:v>
                </c:pt>
                <c:pt idx="160">
                  <c:v>760.51343350642878</c:v>
                </c:pt>
                <c:pt idx="161">
                  <c:v>771.74462724301225</c:v>
                </c:pt>
                <c:pt idx="162">
                  <c:v>789.1961744337035</c:v>
                </c:pt>
                <c:pt idx="163">
                  <c:v>795.75810329338049</c:v>
                </c:pt>
                <c:pt idx="164">
                  <c:v>798.34833836956875</c:v>
                </c:pt>
                <c:pt idx="165">
                  <c:v>805.25563190607079</c:v>
                </c:pt>
                <c:pt idx="166">
                  <c:v>822.69654808573853</c:v>
                </c:pt>
                <c:pt idx="167">
                  <c:v>832.69381634052161</c:v>
                </c:pt>
                <c:pt idx="168">
                  <c:v>848.20681880484028</c:v>
                </c:pt>
                <c:pt idx="169">
                  <c:v>860.27248738819924</c:v>
                </c:pt>
                <c:pt idx="170">
                  <c:v>872.33815597155819</c:v>
                </c:pt>
                <c:pt idx="171">
                  <c:v>875.09602307632599</c:v>
                </c:pt>
                <c:pt idx="172">
                  <c:v>878.37099026323767</c:v>
                </c:pt>
                <c:pt idx="173">
                  <c:v>887.33405835373287</c:v>
                </c:pt>
                <c:pt idx="174">
                  <c:v>903.36416090019543</c:v>
                </c:pt>
                <c:pt idx="175">
                  <c:v>916.29166295379434</c:v>
                </c:pt>
                <c:pt idx="176">
                  <c:v>928.83605941529186</c:v>
                </c:pt>
                <c:pt idx="177">
                  <c:v>944.47359473030929</c:v>
                </c:pt>
                <c:pt idx="178">
                  <c:v>950.83171348476696</c:v>
                </c:pt>
                <c:pt idx="179">
                  <c:v>953.41721389548673</c:v>
                </c:pt>
                <c:pt idx="180">
                  <c:v>957.54139903351336</c:v>
                </c:pt>
                <c:pt idx="181">
                  <c:v>965.10240511989537</c:v>
                </c:pt>
                <c:pt idx="182">
                  <c:v>973.00709330111295</c:v>
                </c:pt>
                <c:pt idx="183">
                  <c:v>984.00492033585044</c:v>
                </c:pt>
                <c:pt idx="184">
                  <c:v>997.58036308185456</c:v>
                </c:pt>
                <c:pt idx="185">
                  <c:v>1007.7189848795032</c:v>
                </c:pt>
                <c:pt idx="186">
                  <c:v>1020.7230438390473</c:v>
                </c:pt>
                <c:pt idx="187">
                  <c:v>1023.4456448648613</c:v>
                </c:pt>
                <c:pt idx="188">
                  <c:v>1028.9210381109851</c:v>
                </c:pt>
                <c:pt idx="189">
                  <c:v>1042.3246398095714</c:v>
                </c:pt>
                <c:pt idx="190">
                  <c:v>1052.4198961071122</c:v>
                </c:pt>
                <c:pt idx="191">
                  <c:v>1060.4618799373566</c:v>
                </c:pt>
                <c:pt idx="192">
                  <c:v>1066.6216973392459</c:v>
                </c:pt>
                <c:pt idx="193">
                  <c:v>1071.7548785074869</c:v>
                </c:pt>
                <c:pt idx="194">
                  <c:v>1084.9300435059722</c:v>
                </c:pt>
                <c:pt idx="195">
                  <c:v>1096.9074662318681</c:v>
                </c:pt>
                <c:pt idx="196">
                  <c:v>1106.01504174501</c:v>
                </c:pt>
                <c:pt idx="197">
                  <c:v>1114.9507762107341</c:v>
                </c:pt>
                <c:pt idx="198">
                  <c:v>1130.0727883834982</c:v>
                </c:pt>
                <c:pt idx="199">
                  <c:v>1142.1016617027424</c:v>
                </c:pt>
                <c:pt idx="200">
                  <c:v>1159.2857664445198</c:v>
                </c:pt>
                <c:pt idx="201">
                  <c:v>1169.8001347814468</c:v>
                </c:pt>
                <c:pt idx="202">
                  <c:v>1184.1065703874294</c:v>
                </c:pt>
                <c:pt idx="203">
                  <c:v>1197.3788058291243</c:v>
                </c:pt>
                <c:pt idx="204">
                  <c:v>1208.7550076362913</c:v>
                </c:pt>
                <c:pt idx="205">
                  <c:v>1225.8193103470419</c:v>
                </c:pt>
                <c:pt idx="206">
                  <c:v>1235.1271118256332</c:v>
                </c:pt>
                <c:pt idx="207">
                  <c:v>1249.1143812370499</c:v>
                </c:pt>
                <c:pt idx="208">
                  <c:v>1256.0090489989693</c:v>
                </c:pt>
                <c:pt idx="209">
                  <c:v>1272.9009850156717</c:v>
                </c:pt>
                <c:pt idx="210">
                  <c:v>1282.7258865764068</c:v>
                </c:pt>
                <c:pt idx="211">
                  <c:v>1298.1915808440065</c:v>
                </c:pt>
                <c:pt idx="212">
                  <c:v>1306.0624586353094</c:v>
                </c:pt>
                <c:pt idx="213">
                  <c:v>1307.7640842764433</c:v>
                </c:pt>
                <c:pt idx="214">
                  <c:v>1319.7639201177344</c:v>
                </c:pt>
                <c:pt idx="215">
                  <c:v>1332.0156247338978</c:v>
                </c:pt>
                <c:pt idx="216">
                  <c:v>1340.0576085641421</c:v>
                </c:pt>
                <c:pt idx="217">
                  <c:v>1348.0995923943865</c:v>
                </c:pt>
                <c:pt idx="218">
                  <c:v>1365.456173933951</c:v>
                </c:pt>
                <c:pt idx="219">
                  <c:v>1375.3256026525271</c:v>
                </c:pt>
                <c:pt idx="220">
                  <c:v>1390.8103959868445</c:v>
                </c:pt>
                <c:pt idx="221">
                  <c:v>1398.1679556613233</c:v>
                </c:pt>
                <c:pt idx="222">
                  <c:v>1402.7878187127403</c:v>
                </c:pt>
                <c:pt idx="223">
                  <c:v>1410.1769837517047</c:v>
                </c:pt>
                <c:pt idx="224">
                  <c:v>1425.2989959244687</c:v>
                </c:pt>
                <c:pt idx="225">
                  <c:v>1436.0786763777749</c:v>
                </c:pt>
                <c:pt idx="226">
                  <c:v>1447.0294628700224</c:v>
                </c:pt>
                <c:pt idx="227">
                  <c:v>1456.5585664603716</c:v>
                </c:pt>
                <c:pt idx="228">
                  <c:v>1471.5328721023488</c:v>
                </c:pt>
                <c:pt idx="229">
                  <c:v>1484.9757146673057</c:v>
                </c:pt>
                <c:pt idx="230">
                  <c:v>1497.4664555100258</c:v>
                </c:pt>
                <c:pt idx="231">
                  <c:v>1503.6262729119151</c:v>
                </c:pt>
                <c:pt idx="232">
                  <c:v>1515.7748016767523</c:v>
                </c:pt>
                <c:pt idx="233">
                  <c:v>1529.7281319340493</c:v>
                </c:pt>
                <c:pt idx="234">
                  <c:v>1539.9944942705315</c:v>
                </c:pt>
                <c:pt idx="235">
                  <c:v>1547.0098418671275</c:v>
                </c:pt>
                <c:pt idx="236">
                  <c:v>1563.436021605499</c:v>
                </c:pt>
                <c:pt idx="237">
                  <c:v>1574.4338486402366</c:v>
                </c:pt>
                <c:pt idx="238">
                  <c:v>1588.3529734810763</c:v>
                </c:pt>
                <c:pt idx="239">
                  <c:v>1600.2100057529028</c:v>
                </c:pt>
                <c:pt idx="240">
                  <c:v>1614.7540190629193</c:v>
                </c:pt>
                <c:pt idx="241">
                  <c:v>1626.2673692399101</c:v>
                </c:pt>
                <c:pt idx="242">
                  <c:v>1636.5778320849765</c:v>
                </c:pt>
                <c:pt idx="243">
                  <c:v>1649.1222285464739</c:v>
                </c:pt>
                <c:pt idx="244">
                  <c:v>1662.5258302450602</c:v>
                </c:pt>
                <c:pt idx="245">
                  <c:v>1671.4615647107844</c:v>
                </c:pt>
                <c:pt idx="246">
                  <c:v>1681.2565044135974</c:v>
                </c:pt>
                <c:pt idx="247">
                  <c:v>1691.9106493534994</c:v>
                </c:pt>
                <c:pt idx="248">
                  <c:v>1700.3308606769704</c:v>
                </c:pt>
                <c:pt idx="249">
                  <c:v>1709.9539593323657</c:v>
                </c:pt>
                <c:pt idx="250">
                  <c:v>1719.4052169403433</c:v>
                </c:pt>
                <c:pt idx="251">
                  <c:v>1727.6535872163965</c:v>
                </c:pt>
                <c:pt idx="252">
                  <c:v>1736.0737985398675</c:v>
                </c:pt>
                <c:pt idx="253">
                  <c:v>1746.0405792900983</c:v>
                </c:pt>
                <c:pt idx="254">
                  <c:v>1757.3820884196714</c:v>
                </c:pt>
                <c:pt idx="255">
                  <c:v>1765.286776600889</c:v>
                </c:pt>
                <c:pt idx="256">
                  <c:v>1773.3633058295243</c:v>
                </c:pt>
                <c:pt idx="257">
                  <c:v>1782.8145634375019</c:v>
                </c:pt>
                <c:pt idx="258">
                  <c:v>1792.0939799980617</c:v>
                </c:pt>
                <c:pt idx="259">
                  <c:v>1799.6549860844439</c:v>
                </c:pt>
                <c:pt idx="260">
                  <c:v>1808.2470384553326</c:v>
                </c:pt>
                <c:pt idx="261">
                  <c:v>1819.2448654900702</c:v>
                </c:pt>
                <c:pt idx="262">
                  <c:v>1829.7271693825544</c:v>
                </c:pt>
                <c:pt idx="263">
                  <c:v>1838.3192217534431</c:v>
                </c:pt>
                <c:pt idx="264">
                  <c:v>1847.598638314003</c:v>
                </c:pt>
                <c:pt idx="265">
                  <c:v>1858.4246243013226</c:v>
                </c:pt>
                <c:pt idx="266">
                  <c:v>1868.3914050515534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</c:numCache>
            </c:numRef>
          </c:xVal>
          <c:yVal>
            <c:numRef>
              <c:f>[0]!YData</c:f>
              <c:numCache>
                <c:formatCode>0.000</c:formatCode>
                <c:ptCount val="399"/>
                <c:pt idx="0">
                  <c:v>-90</c:v>
                </c:pt>
                <c:pt idx="1">
                  <c:v>-90</c:v>
                </c:pt>
                <c:pt idx="2">
                  <c:v>-90</c:v>
                </c:pt>
                <c:pt idx="3">
                  <c:v>-90</c:v>
                </c:pt>
                <c:pt idx="4">
                  <c:v>-90</c:v>
                </c:pt>
                <c:pt idx="5">
                  <c:v>-90</c:v>
                </c:pt>
                <c:pt idx="6">
                  <c:v>-90</c:v>
                </c:pt>
                <c:pt idx="7">
                  <c:v>-90</c:v>
                </c:pt>
                <c:pt idx="8">
                  <c:v>-90</c:v>
                </c:pt>
                <c:pt idx="9">
                  <c:v>-90</c:v>
                </c:pt>
                <c:pt idx="10">
                  <c:v>-90</c:v>
                </c:pt>
                <c:pt idx="11">
                  <c:v>-90</c:v>
                </c:pt>
                <c:pt idx="12">
                  <c:v>-90</c:v>
                </c:pt>
                <c:pt idx="13">
                  <c:v>-90</c:v>
                </c:pt>
                <c:pt idx="14">
                  <c:v>-90</c:v>
                </c:pt>
                <c:pt idx="15">
                  <c:v>-90</c:v>
                </c:pt>
                <c:pt idx="16">
                  <c:v>-90</c:v>
                </c:pt>
                <c:pt idx="17">
                  <c:v>-90</c:v>
                </c:pt>
                <c:pt idx="18">
                  <c:v>-90</c:v>
                </c:pt>
                <c:pt idx="19">
                  <c:v>-90</c:v>
                </c:pt>
                <c:pt idx="20">
                  <c:v>-90</c:v>
                </c:pt>
                <c:pt idx="21">
                  <c:v>-90</c:v>
                </c:pt>
                <c:pt idx="22">
                  <c:v>-90</c:v>
                </c:pt>
                <c:pt idx="23">
                  <c:v>-90</c:v>
                </c:pt>
                <c:pt idx="24">
                  <c:v>-90</c:v>
                </c:pt>
                <c:pt idx="25">
                  <c:v>-90</c:v>
                </c:pt>
                <c:pt idx="26">
                  <c:v>-90</c:v>
                </c:pt>
                <c:pt idx="27">
                  <c:v>-90</c:v>
                </c:pt>
                <c:pt idx="28">
                  <c:v>-90</c:v>
                </c:pt>
                <c:pt idx="29">
                  <c:v>-90</c:v>
                </c:pt>
                <c:pt idx="30">
                  <c:v>-89.252255183259919</c:v>
                </c:pt>
                <c:pt idx="31">
                  <c:v>-88.486419766114835</c:v>
                </c:pt>
                <c:pt idx="32">
                  <c:v>-87.726614549104752</c:v>
                </c:pt>
                <c:pt idx="33">
                  <c:v>-86.569521422703019</c:v>
                </c:pt>
                <c:pt idx="34">
                  <c:v>-86.044894010957961</c:v>
                </c:pt>
                <c:pt idx="35">
                  <c:v>-86.044894010957961</c:v>
                </c:pt>
                <c:pt idx="36">
                  <c:v>-86.527310021758012</c:v>
                </c:pt>
                <c:pt idx="37">
                  <c:v>-86.949424031208068</c:v>
                </c:pt>
                <c:pt idx="38">
                  <c:v>-87.401689041333114</c:v>
                </c:pt>
                <c:pt idx="39">
                  <c:v>-87.841893651188158</c:v>
                </c:pt>
                <c:pt idx="40">
                  <c:v>-88.257977460503213</c:v>
                </c:pt>
                <c:pt idx="41">
                  <c:v>-88.698182070358257</c:v>
                </c:pt>
                <c:pt idx="42">
                  <c:v>-89.156477280618304</c:v>
                </c:pt>
                <c:pt idx="43">
                  <c:v>-89.626832891148354</c:v>
                </c:pt>
                <c:pt idx="44">
                  <c:v>-90.042916700463408</c:v>
                </c:pt>
                <c:pt idx="45">
                  <c:v>-90.042916700463408</c:v>
                </c:pt>
                <c:pt idx="46">
                  <c:v>-90.501211910723455</c:v>
                </c:pt>
                <c:pt idx="47">
                  <c:v>-90.959507120983503</c:v>
                </c:pt>
                <c:pt idx="48">
                  <c:v>-91.33337952935355</c:v>
                </c:pt>
                <c:pt idx="49">
                  <c:v>-91.7193123379936</c:v>
                </c:pt>
                <c:pt idx="50">
                  <c:v>-91.7193123379936</c:v>
                </c:pt>
                <c:pt idx="51">
                  <c:v>-91.7193123379936</c:v>
                </c:pt>
                <c:pt idx="52">
                  <c:v>-91.7193123379936</c:v>
                </c:pt>
                <c:pt idx="53">
                  <c:v>-92.093184746363647</c:v>
                </c:pt>
                <c:pt idx="54">
                  <c:v>-93.176858058929525</c:v>
                </c:pt>
                <c:pt idx="55">
                  <c:v>-95.067125881992055</c:v>
                </c:pt>
                <c:pt idx="56">
                  <c:v>-98.115235710147445</c:v>
                </c:pt>
                <c:pt idx="57">
                  <c:v>-101.99887807229115</c:v>
                </c:pt>
                <c:pt idx="58">
                  <c:v>-107.1825059507143</c:v>
                </c:pt>
                <c:pt idx="59">
                  <c:v>-113.47934999268676</c:v>
                </c:pt>
                <c:pt idx="60">
                  <c:v>-121.0411360323784</c:v>
                </c:pt>
                <c:pt idx="61">
                  <c:v>-129.11527767301919</c:v>
                </c:pt>
                <c:pt idx="62">
                  <c:v>-137.90720917997945</c:v>
                </c:pt>
                <c:pt idx="63">
                  <c:v>-147.3805373932056</c:v>
                </c:pt>
                <c:pt idx="64">
                  <c:v>-157.28493835458946</c:v>
                </c:pt>
                <c:pt idx="65">
                  <c:v>-167.67955244047027</c:v>
                </c:pt>
                <c:pt idx="66">
                  <c:v>-178.1618563329545</c:v>
                </c:pt>
                <c:pt idx="67">
                  <c:v>-188.5291120898008</c:v>
                </c:pt>
                <c:pt idx="68">
                  <c:v>-199.13768650416569</c:v>
                </c:pt>
                <c:pt idx="69">
                  <c:v>-209.5323005900465</c:v>
                </c:pt>
                <c:pt idx="70">
                  <c:v>-219.43670155143036</c:v>
                </c:pt>
                <c:pt idx="71">
                  <c:v>-228.74300745840833</c:v>
                </c:pt>
                <c:pt idx="72">
                  <c:v>-237.48109941423337</c:v>
                </c:pt>
                <c:pt idx="73">
                  <c:v>-245.68760403258958</c:v>
                </c:pt>
                <c:pt idx="74">
                  <c:v>-252.85588710114072</c:v>
                </c:pt>
                <c:pt idx="75">
                  <c:v>-259.05116914243621</c:v>
                </c:pt>
                <c:pt idx="76">
                  <c:v>-264.49397841478054</c:v>
                </c:pt>
                <c:pt idx="77">
                  <c:v>-268.78100026596928</c:v>
                </c:pt>
                <c:pt idx="78">
                  <c:v>-271.68622994592988</c:v>
                </c:pt>
                <c:pt idx="79">
                  <c:v>-273.51648926667298</c:v>
                </c:pt>
                <c:pt idx="80">
                  <c:v>-274.25172552407406</c:v>
                </c:pt>
                <c:pt idx="81">
                  <c:v>-274.25172552407406</c:v>
                </c:pt>
                <c:pt idx="82">
                  <c:v>-273.883883315839</c:v>
                </c:pt>
                <c:pt idx="83">
                  <c:v>-273.49795050719894</c:v>
                </c:pt>
                <c:pt idx="84">
                  <c:v>-273.06377609747886</c:v>
                </c:pt>
                <c:pt idx="85">
                  <c:v>-272.50296748492377</c:v>
                </c:pt>
                <c:pt idx="86">
                  <c:v>-272.0808534754737</c:v>
                </c:pt>
                <c:pt idx="87">
                  <c:v>-271.58034686426862</c:v>
                </c:pt>
                <c:pt idx="88">
                  <c:v>-271.07381005292854</c:v>
                </c:pt>
                <c:pt idx="89">
                  <c:v>-270.59742424226346</c:v>
                </c:pt>
                <c:pt idx="90">
                  <c:v>-270.13912903200338</c:v>
                </c:pt>
                <c:pt idx="91">
                  <c:v>-269.69289422201331</c:v>
                </c:pt>
                <c:pt idx="92">
                  <c:v>-269.69289422201331</c:v>
                </c:pt>
                <c:pt idx="93">
                  <c:v>-270.48839574641448</c:v>
                </c:pt>
                <c:pt idx="94">
                  <c:v>-272.21980750496613</c:v>
                </c:pt>
                <c:pt idx="95">
                  <c:v>-274.69860222954412</c:v>
                </c:pt>
                <c:pt idx="96">
                  <c:v>-278.38280917552572</c:v>
                </c:pt>
                <c:pt idx="97">
                  <c:v>-283.09150530715925</c:v>
                </c:pt>
                <c:pt idx="98">
                  <c:v>-289.13469470422325</c:v>
                </c:pt>
                <c:pt idx="99">
                  <c:v>-296.04930800975654</c:v>
                </c:pt>
                <c:pt idx="100">
                  <c:v>-303.4910656996118</c:v>
                </c:pt>
                <c:pt idx="101">
                  <c:v>-311.82993329568342</c:v>
                </c:pt>
                <c:pt idx="102">
                  <c:v>-320.85452006973225</c:v>
                </c:pt>
                <c:pt idx="103">
                  <c:v>-330.16082597671021</c:v>
                </c:pt>
                <c:pt idx="104">
                  <c:v>-339.78963470501105</c:v>
                </c:pt>
                <c:pt idx="105">
                  <c:v>-349.81381161771895</c:v>
                </c:pt>
                <c:pt idx="106">
                  <c:v>-359.78550619005938</c:v>
                </c:pt>
                <c:pt idx="107">
                  <c:v>-371.29885636705023</c:v>
                </c:pt>
                <c:pt idx="108">
                  <c:v>-382.69589070227869</c:v>
                </c:pt>
                <c:pt idx="109">
                  <c:v>-392.36610165338158</c:v>
                </c:pt>
                <c:pt idx="110">
                  <c:v>-402.72704195813469</c:v>
                </c:pt>
                <c:pt idx="111">
                  <c:v>-416.19626435431377</c:v>
                </c:pt>
                <c:pt idx="112">
                  <c:v>-431.91993558553071</c:v>
                </c:pt>
                <c:pt idx="113">
                  <c:v>-445.05179287753606</c:v>
                </c:pt>
                <c:pt idx="114">
                  <c:v>-459.22037574522602</c:v>
                </c:pt>
                <c:pt idx="115">
                  <c:v>-473.38895861291599</c:v>
                </c:pt>
                <c:pt idx="116">
                  <c:v>-486.69360350086873</c:v>
                </c:pt>
                <c:pt idx="117">
                  <c:v>-498.78873521718941</c:v>
                </c:pt>
                <c:pt idx="118">
                  <c:v>-511.40222972135246</c:v>
                </c:pt>
                <c:pt idx="119">
                  <c:v>-524.36129941741035</c:v>
                </c:pt>
                <c:pt idx="120">
                  <c:v>-536.10369842946386</c:v>
                </c:pt>
                <c:pt idx="121">
                  <c:v>-547.84491535328698</c:v>
                </c:pt>
                <c:pt idx="122">
                  <c:v>-558.97321988696217</c:v>
                </c:pt>
                <c:pt idx="123">
                  <c:v>-569.86721899472968</c:v>
                </c:pt>
                <c:pt idx="124">
                  <c:v>-579.78377446937839</c:v>
                </c:pt>
                <c:pt idx="125">
                  <c:v>-588.45063676477594</c:v>
                </c:pt>
                <c:pt idx="126">
                  <c:v>-596.54022785838208</c:v>
                </c:pt>
                <c:pt idx="127">
                  <c:v>-603.70851092693317</c:v>
                </c:pt>
                <c:pt idx="128">
                  <c:v>-609.90379296822869</c:v>
                </c:pt>
                <c:pt idx="129">
                  <c:v>-615.48916498672725</c:v>
                </c:pt>
                <c:pt idx="130">
                  <c:v>-620.10961587849806</c:v>
                </c:pt>
                <c:pt idx="131">
                  <c:v>-623.71452301667932</c:v>
                </c:pt>
                <c:pt idx="132">
                  <c:v>-626.09718587329905</c:v>
                </c:pt>
                <c:pt idx="133">
                  <c:v>-627.83743244056302</c:v>
                </c:pt>
                <c:pt idx="134">
                  <c:v>-628.26557665014809</c:v>
                </c:pt>
                <c:pt idx="135">
                  <c:v>-627.88567404164303</c:v>
                </c:pt>
                <c:pt idx="136">
                  <c:v>-627.18659694444193</c:v>
                </c:pt>
                <c:pt idx="137">
                  <c:v>-626.46341374044084</c:v>
                </c:pt>
                <c:pt idx="138">
                  <c:v>-625.58354084223947</c:v>
                </c:pt>
                <c:pt idx="139">
                  <c:v>-624.49876603623784</c:v>
                </c:pt>
                <c:pt idx="140">
                  <c:v>-623.61889313803647</c:v>
                </c:pt>
                <c:pt idx="141">
                  <c:v>-622.13787294419649</c:v>
                </c:pt>
                <c:pt idx="142">
                  <c:v>-620.6387915284804</c:v>
                </c:pt>
                <c:pt idx="143">
                  <c:v>-619.60222893607886</c:v>
                </c:pt>
                <c:pt idx="144">
                  <c:v>-619.08363172446877</c:v>
                </c:pt>
                <c:pt idx="145">
                  <c:v>-618.58312511326369</c:v>
                </c:pt>
                <c:pt idx="146">
                  <c:v>-618.06452790165361</c:v>
                </c:pt>
                <c:pt idx="147">
                  <c:v>-617.53990048990852</c:v>
                </c:pt>
                <c:pt idx="148">
                  <c:v>-617.02130327829843</c:v>
                </c:pt>
                <c:pt idx="149">
                  <c:v>-617.02130327829843</c:v>
                </c:pt>
                <c:pt idx="150">
                  <c:v>-617.02130327829843</c:v>
                </c:pt>
                <c:pt idx="151">
                  <c:v>-617.02130327829843</c:v>
                </c:pt>
                <c:pt idx="152">
                  <c:v>-617.02130327829843</c:v>
                </c:pt>
                <c:pt idx="153">
                  <c:v>-617.02130327829843</c:v>
                </c:pt>
                <c:pt idx="154">
                  <c:v>-617.02130327829843</c:v>
                </c:pt>
                <c:pt idx="155">
                  <c:v>-617.02130327829843</c:v>
                </c:pt>
                <c:pt idx="156">
                  <c:v>-617.02130327829843</c:v>
                </c:pt>
                <c:pt idx="157">
                  <c:v>-617.02130327829843</c:v>
                </c:pt>
                <c:pt idx="158">
                  <c:v>-616.62331006938837</c:v>
                </c:pt>
                <c:pt idx="159">
                  <c:v>-615.69522495758702</c:v>
                </c:pt>
                <c:pt idx="160">
                  <c:v>-614.67071541858547</c:v>
                </c:pt>
                <c:pt idx="161">
                  <c:v>-614.67071541858547</c:v>
                </c:pt>
                <c:pt idx="162">
                  <c:v>-614.67071541858547</c:v>
                </c:pt>
                <c:pt idx="163">
                  <c:v>-614.89986302371551</c:v>
                </c:pt>
                <c:pt idx="164">
                  <c:v>-614.99031602574053</c:v>
                </c:pt>
                <c:pt idx="165">
                  <c:v>-615.23152403114057</c:v>
                </c:pt>
                <c:pt idx="166">
                  <c:v>-615.84057424477567</c:v>
                </c:pt>
                <c:pt idx="167">
                  <c:v>-616.53965134197676</c:v>
                </c:pt>
                <c:pt idx="168">
                  <c:v>-617.6244261479784</c:v>
                </c:pt>
                <c:pt idx="169">
                  <c:v>-618.46813988597967</c:v>
                </c:pt>
                <c:pt idx="170">
                  <c:v>-619.31185362398094</c:v>
                </c:pt>
                <c:pt idx="171">
                  <c:v>-619.5047024783812</c:v>
                </c:pt>
                <c:pt idx="172">
                  <c:v>-619.73371049298157</c:v>
                </c:pt>
                <c:pt idx="173">
                  <c:v>-620.36046926978247</c:v>
                </c:pt>
                <c:pt idx="174">
                  <c:v>-621.4814032359842</c:v>
                </c:pt>
                <c:pt idx="175">
                  <c:v>-622.38538224098556</c:v>
                </c:pt>
                <c:pt idx="176">
                  <c:v>-623.70385143794067</c:v>
                </c:pt>
                <c:pt idx="177">
                  <c:v>-625.34742262866564</c:v>
                </c:pt>
                <c:pt idx="178">
                  <c:v>-626.01568783808125</c:v>
                </c:pt>
                <c:pt idx="179">
                  <c:v>-626.19648363908152</c:v>
                </c:pt>
                <c:pt idx="180">
                  <c:v>-626.62995296410793</c:v>
                </c:pt>
                <c:pt idx="181">
                  <c:v>-627.42464672665619</c:v>
                </c:pt>
                <c:pt idx="182">
                  <c:v>-628.25546293295668</c:v>
                </c:pt>
                <c:pt idx="183">
                  <c:v>-629.41138113302691</c:v>
                </c:pt>
                <c:pt idx="184">
                  <c:v>-630.83821766123867</c:v>
                </c:pt>
                <c:pt idx="185">
                  <c:v>-631.90382975192847</c:v>
                </c:pt>
                <c:pt idx="186">
                  <c:v>-633.73143105262193</c:v>
                </c:pt>
                <c:pt idx="187">
                  <c:v>-634.21149907117751</c:v>
                </c:pt>
                <c:pt idx="188">
                  <c:v>-634.98101540831158</c:v>
                </c:pt>
                <c:pt idx="189">
                  <c:v>-636.38979071464723</c:v>
                </c:pt>
                <c:pt idx="190">
                  <c:v>-637.80858646123818</c:v>
                </c:pt>
                <c:pt idx="191">
                  <c:v>-638.93881358140391</c:v>
                </c:pt>
                <c:pt idx="192">
                  <c:v>-639.80451946067978</c:v>
                </c:pt>
                <c:pt idx="193">
                  <c:v>-640.525941026743</c:v>
                </c:pt>
                <c:pt idx="194">
                  <c:v>-642.37758971297183</c:v>
                </c:pt>
                <c:pt idx="195">
                  <c:v>-644.06090670045262</c:v>
                </c:pt>
                <c:pt idx="196">
                  <c:v>-645.01815145988576</c:v>
                </c:pt>
                <c:pt idx="197">
                  <c:v>-645.9573349974429</c:v>
                </c:pt>
                <c:pt idx="198">
                  <c:v>-647.54672252253954</c:v>
                </c:pt>
                <c:pt idx="199">
                  <c:v>-648.81100805386643</c:v>
                </c:pt>
                <c:pt idx="200">
                  <c:v>-650.61713024147627</c:v>
                </c:pt>
                <c:pt idx="201">
                  <c:v>-651.35236649887736</c:v>
                </c:pt>
                <c:pt idx="202">
                  <c:v>-652.35276993107891</c:v>
                </c:pt>
                <c:pt idx="203">
                  <c:v>-653.28085504288026</c:v>
                </c:pt>
                <c:pt idx="204">
                  <c:v>-654.07635656728144</c:v>
                </c:pt>
                <c:pt idx="205">
                  <c:v>-655.26960885388326</c:v>
                </c:pt>
                <c:pt idx="206">
                  <c:v>-655.92047373748426</c:v>
                </c:pt>
                <c:pt idx="207">
                  <c:v>-656.40891994841934</c:v>
                </c:pt>
                <c:pt idx="208">
                  <c:v>-656.89104208442006</c:v>
                </c:pt>
                <c:pt idx="209">
                  <c:v>-658.07224131762189</c:v>
                </c:pt>
                <c:pt idx="210">
                  <c:v>-658.75926536142288</c:v>
                </c:pt>
                <c:pt idx="211">
                  <c:v>-660.38477533027174</c:v>
                </c:pt>
                <c:pt idx="212">
                  <c:v>-661.49095506490198</c:v>
                </c:pt>
                <c:pt idx="213">
                  <c:v>-661.79099757649919</c:v>
                </c:pt>
                <c:pt idx="214">
                  <c:v>-664.3416414235287</c:v>
                </c:pt>
                <c:pt idx="215">
                  <c:v>-666.50194750702872</c:v>
                </c:pt>
                <c:pt idx="216">
                  <c:v>-667.63217462719444</c:v>
                </c:pt>
                <c:pt idx="217">
                  <c:v>-668.76240174736017</c:v>
                </c:pt>
                <c:pt idx="218">
                  <c:v>-671.82283536565183</c:v>
                </c:pt>
                <c:pt idx="219">
                  <c:v>-673.56308193291579</c:v>
                </c:pt>
                <c:pt idx="220">
                  <c:v>-676.29346878845058</c:v>
                </c:pt>
                <c:pt idx="221">
                  <c:v>-677.32750636647449</c:v>
                </c:pt>
                <c:pt idx="222">
                  <c:v>-677.97678577593138</c:v>
                </c:pt>
                <c:pt idx="223">
                  <c:v>-678.75341831660364</c:v>
                </c:pt>
                <c:pt idx="224">
                  <c:v>-680.34280584170028</c:v>
                </c:pt>
                <c:pt idx="225">
                  <c:v>-681.85779113043304</c:v>
                </c:pt>
                <c:pt idx="226">
                  <c:v>-683.39682380470117</c:v>
                </c:pt>
                <c:pt idx="227">
                  <c:v>-685.0770618696456</c:v>
                </c:pt>
                <c:pt idx="228">
                  <c:v>-687.71743597170121</c:v>
                </c:pt>
                <c:pt idx="229">
                  <c:v>-690.08777181331925</c:v>
                </c:pt>
                <c:pt idx="230">
                  <c:v>-691.84323095740638</c:v>
                </c:pt>
                <c:pt idx="231">
                  <c:v>-692.70893683668226</c:v>
                </c:pt>
                <c:pt idx="232">
                  <c:v>-694.41630120969853</c:v>
                </c:pt>
                <c:pt idx="233">
                  <c:v>-696.87664980479576</c:v>
                </c:pt>
                <c:pt idx="234">
                  <c:v>-698.31949293692219</c:v>
                </c:pt>
                <c:pt idx="235">
                  <c:v>-699.30543574387525</c:v>
                </c:pt>
                <c:pt idx="236">
                  <c:v>-701.61398475527744</c:v>
                </c:pt>
                <c:pt idx="237">
                  <c:v>-702.76990295534767</c:v>
                </c:pt>
                <c:pt idx="238">
                  <c:v>-704.23286192731166</c:v>
                </c:pt>
                <c:pt idx="239">
                  <c:v>-705.47908623676244</c:v>
                </c:pt>
                <c:pt idx="240">
                  <c:v>-707.52311400727478</c:v>
                </c:pt>
                <c:pt idx="241">
                  <c:v>-708.73321587297335</c:v>
                </c:pt>
                <c:pt idx="242">
                  <c:v>-709.81688918553925</c:v>
                </c:pt>
                <c:pt idx="243">
                  <c:v>-711.13535838249436</c:v>
                </c:pt>
                <c:pt idx="244">
                  <c:v>-712.54413368883002</c:v>
                </c:pt>
                <c:pt idx="245">
                  <c:v>-713.48331722638716</c:v>
                </c:pt>
                <c:pt idx="246">
                  <c:v>-714.51280687332473</c:v>
                </c:pt>
                <c:pt idx="247">
                  <c:v>-715.63260262964286</c:v>
                </c:pt>
                <c:pt idx="248">
                  <c:v>-716.51760250157167</c:v>
                </c:pt>
                <c:pt idx="249">
                  <c:v>-717.52903092663314</c:v>
                </c:pt>
                <c:pt idx="250">
                  <c:v>-718.5223981298185</c:v>
                </c:pt>
                <c:pt idx="251">
                  <c:v>-719.3893367798712</c:v>
                </c:pt>
                <c:pt idx="252">
                  <c:v>-720.27433665180001</c:v>
                </c:pt>
                <c:pt idx="253">
                  <c:v>-721.3218875206137</c:v>
                </c:pt>
                <c:pt idx="254">
                  <c:v>-722.51392816443615</c:v>
                </c:pt>
                <c:pt idx="255">
                  <c:v>-723.34474437073663</c:v>
                </c:pt>
                <c:pt idx="256">
                  <c:v>-724.19362179891323</c:v>
                </c:pt>
                <c:pt idx="257">
                  <c:v>-725.18698900209858</c:v>
                </c:pt>
                <c:pt idx="258">
                  <c:v>-726.16229498340783</c:v>
                </c:pt>
                <c:pt idx="259">
                  <c:v>-726.9569887459561</c:v>
                </c:pt>
                <c:pt idx="260">
                  <c:v>-727.86004983976102</c:v>
                </c:pt>
                <c:pt idx="261">
                  <c:v>-729.01596803983125</c:v>
                </c:pt>
                <c:pt idx="262">
                  <c:v>-730.11770257427327</c:v>
                </c:pt>
                <c:pt idx="263">
                  <c:v>-731.02076366807819</c:v>
                </c:pt>
                <c:pt idx="264">
                  <c:v>-731.99606964938744</c:v>
                </c:pt>
                <c:pt idx="265">
                  <c:v>-733.13392662758156</c:v>
                </c:pt>
                <c:pt idx="266">
                  <c:v>-734.18147749639525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A4-454A-9CCF-8C64BF00B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43744"/>
        <c:axId val="171746624"/>
      </c:scatterChart>
      <c:valAx>
        <c:axId val="171743744"/>
        <c:scaling>
          <c:orientation val="minMax"/>
          <c:max val="72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746624"/>
        <c:crosses val="max"/>
        <c:crossBetween val="midCat"/>
        <c:majorUnit val="180"/>
      </c:valAx>
      <c:valAx>
        <c:axId val="171746624"/>
        <c:scaling>
          <c:orientation val="minMax"/>
          <c:max val="0"/>
          <c:min val="-14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1743744"/>
        <c:crosses val="autoZero"/>
        <c:crossBetween val="midCat"/>
        <c:majorUnit val="18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</xdr:colOff>
      <xdr:row>1</xdr:row>
      <xdr:rowOff>22860</xdr:rowOff>
    </xdr:from>
    <xdr:to>
      <xdr:col>15</xdr:col>
      <xdr:colOff>373380</xdr:colOff>
      <xdr:row>24</xdr:row>
      <xdr:rowOff>182880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EA01FE4-964F-4B4C-893C-41B5CC3F27E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0</xdr:row>
      <xdr:rowOff>38099</xdr:rowOff>
    </xdr:from>
    <xdr:to>
      <xdr:col>17</xdr:col>
      <xdr:colOff>487680</xdr:colOff>
      <xdr:row>25</xdr:row>
      <xdr:rowOff>150988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BC2B264-D401-4042-ACAD-EFFA1842A897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55"/>
  <sheetViews>
    <sheetView workbookViewId="0">
      <selection activeCell="G14" sqref="G14"/>
    </sheetView>
  </sheetViews>
  <sheetFormatPr defaultRowHeight="18"/>
  <cols>
    <col min="10" max="10" width="10.296875" customWidth="1"/>
    <col min="13" max="13" width="14" customWidth="1"/>
  </cols>
  <sheetData>
    <row r="1" spans="1:18">
      <c r="A1" t="s">
        <v>8</v>
      </c>
      <c r="B1" s="1"/>
      <c r="J1" s="1"/>
      <c r="M1" s="1"/>
      <c r="N1" s="2"/>
      <c r="O1" s="2"/>
      <c r="P1" s="2"/>
      <c r="Q1" s="2"/>
      <c r="R1" s="2"/>
    </row>
    <row r="2" spans="1:18">
      <c r="A2">
        <v>13</v>
      </c>
      <c r="B2" s="1">
        <v>5</v>
      </c>
      <c r="C2">
        <v>5</v>
      </c>
      <c r="D2">
        <v>3</v>
      </c>
      <c r="E2">
        <v>9</v>
      </c>
      <c r="F2">
        <v>1</v>
      </c>
      <c r="G2">
        <v>1</v>
      </c>
      <c r="H2">
        <v>1</v>
      </c>
      <c r="I2">
        <v>1</v>
      </c>
      <c r="J2" s="1">
        <v>1</v>
      </c>
      <c r="K2">
        <v>1</v>
      </c>
      <c r="L2">
        <v>1</v>
      </c>
      <c r="M2" s="1">
        <v>1</v>
      </c>
      <c r="N2" s="2">
        <v>1</v>
      </c>
      <c r="O2" s="2">
        <v>1</v>
      </c>
      <c r="P2" s="2">
        <v>3</v>
      </c>
      <c r="Q2" s="2"/>
      <c r="R2" s="2"/>
    </row>
    <row r="3" spans="1:18">
      <c r="A3">
        <v>11</v>
      </c>
      <c r="B3" s="1">
        <v>9</v>
      </c>
      <c r="C3">
        <v>5</v>
      </c>
      <c r="D3">
        <v>2</v>
      </c>
      <c r="E3">
        <v>8</v>
      </c>
      <c r="F3">
        <v>0</v>
      </c>
      <c r="G3">
        <v>0</v>
      </c>
      <c r="H3">
        <v>0</v>
      </c>
      <c r="I3">
        <v>0</v>
      </c>
      <c r="J3" s="1">
        <v>0</v>
      </c>
      <c r="K3">
        <v>0</v>
      </c>
      <c r="L3">
        <v>0</v>
      </c>
      <c r="M3" s="1">
        <v>0</v>
      </c>
      <c r="N3" s="2">
        <v>0</v>
      </c>
      <c r="O3" s="2">
        <v>0</v>
      </c>
      <c r="P3" s="2">
        <v>2</v>
      </c>
      <c r="Q3" s="2"/>
      <c r="R3" s="2"/>
    </row>
    <row r="4" spans="1:18">
      <c r="A4">
        <v>10</v>
      </c>
      <c r="B4" s="1">
        <v>10</v>
      </c>
      <c r="C4">
        <v>11</v>
      </c>
      <c r="D4">
        <v>12</v>
      </c>
      <c r="E4">
        <v>0</v>
      </c>
      <c r="F4">
        <v>0</v>
      </c>
      <c r="G4">
        <v>0</v>
      </c>
      <c r="H4">
        <v>0</v>
      </c>
      <c r="I4">
        <v>0</v>
      </c>
      <c r="J4" s="1">
        <v>0</v>
      </c>
      <c r="K4">
        <v>0</v>
      </c>
      <c r="L4">
        <v>0</v>
      </c>
      <c r="M4" s="1">
        <v>0</v>
      </c>
      <c r="N4" s="2">
        <v>0</v>
      </c>
      <c r="O4" s="2">
        <v>0</v>
      </c>
      <c r="P4" s="2">
        <v>2</v>
      </c>
      <c r="Q4" s="2"/>
      <c r="R4" s="2"/>
    </row>
    <row r="5" spans="1:18">
      <c r="A5">
        <v>10</v>
      </c>
      <c r="B5" s="1">
        <v>12</v>
      </c>
      <c r="C5">
        <v>4</v>
      </c>
      <c r="D5">
        <v>3</v>
      </c>
      <c r="E5">
        <v>8</v>
      </c>
      <c r="F5">
        <v>0</v>
      </c>
      <c r="G5">
        <v>0</v>
      </c>
      <c r="H5">
        <v>0</v>
      </c>
      <c r="I5">
        <v>0</v>
      </c>
      <c r="J5" s="1">
        <v>0</v>
      </c>
      <c r="K5">
        <v>0</v>
      </c>
      <c r="L5">
        <v>0</v>
      </c>
      <c r="M5" s="1">
        <v>0</v>
      </c>
      <c r="N5" s="2">
        <v>0</v>
      </c>
      <c r="O5" s="2">
        <v>0</v>
      </c>
      <c r="P5" s="2">
        <v>2</v>
      </c>
      <c r="Q5" s="2"/>
      <c r="R5" s="2"/>
    </row>
    <row r="6" spans="1:18">
      <c r="A6">
        <v>8</v>
      </c>
      <c r="B6" s="1">
        <v>3</v>
      </c>
      <c r="C6">
        <v>9</v>
      </c>
      <c r="D6">
        <v>2</v>
      </c>
      <c r="E6">
        <v>8</v>
      </c>
      <c r="F6">
        <v>0</v>
      </c>
      <c r="G6">
        <v>0</v>
      </c>
      <c r="H6">
        <v>0</v>
      </c>
      <c r="I6">
        <v>0</v>
      </c>
      <c r="J6" s="1">
        <v>0</v>
      </c>
      <c r="K6">
        <v>0</v>
      </c>
      <c r="L6">
        <v>0</v>
      </c>
      <c r="M6" s="1">
        <v>0</v>
      </c>
      <c r="N6" s="2">
        <v>0</v>
      </c>
      <c r="O6" s="2">
        <v>0</v>
      </c>
      <c r="P6" s="2">
        <v>2</v>
      </c>
      <c r="Q6" s="2"/>
      <c r="R6" s="2"/>
    </row>
    <row r="7" spans="1:18">
      <c r="A7">
        <v>10</v>
      </c>
      <c r="B7" s="1">
        <v>14</v>
      </c>
      <c r="C7">
        <v>14</v>
      </c>
      <c r="D7">
        <v>10</v>
      </c>
      <c r="E7">
        <v>8</v>
      </c>
      <c r="F7">
        <v>0</v>
      </c>
      <c r="G7">
        <v>0</v>
      </c>
      <c r="H7">
        <v>0</v>
      </c>
      <c r="I7">
        <v>0</v>
      </c>
      <c r="J7" s="1">
        <v>0</v>
      </c>
      <c r="K7">
        <v>0</v>
      </c>
      <c r="L7">
        <v>0</v>
      </c>
      <c r="M7" s="1">
        <v>0</v>
      </c>
      <c r="N7" s="2">
        <v>0</v>
      </c>
      <c r="O7" s="2">
        <v>0</v>
      </c>
      <c r="P7" s="2">
        <v>2</v>
      </c>
      <c r="Q7" s="2"/>
      <c r="R7" s="2"/>
    </row>
    <row r="8" spans="1:18">
      <c r="A8">
        <v>10</v>
      </c>
      <c r="B8" s="1">
        <v>11</v>
      </c>
      <c r="C8">
        <v>11</v>
      </c>
      <c r="D8">
        <v>10</v>
      </c>
      <c r="E8">
        <v>8</v>
      </c>
      <c r="F8">
        <v>0</v>
      </c>
      <c r="G8">
        <v>0</v>
      </c>
      <c r="H8">
        <v>0</v>
      </c>
      <c r="I8">
        <v>0</v>
      </c>
      <c r="J8" s="1">
        <v>0</v>
      </c>
      <c r="K8">
        <v>0</v>
      </c>
      <c r="L8">
        <v>0</v>
      </c>
      <c r="M8" s="1">
        <v>0</v>
      </c>
      <c r="N8" s="2">
        <v>0</v>
      </c>
      <c r="O8" s="2">
        <v>0</v>
      </c>
      <c r="P8" s="2">
        <v>2</v>
      </c>
      <c r="Q8" s="2"/>
      <c r="R8" s="2"/>
    </row>
    <row r="9" spans="1:18">
      <c r="A9">
        <v>12</v>
      </c>
      <c r="B9" s="1">
        <v>4</v>
      </c>
      <c r="C9">
        <v>4</v>
      </c>
      <c r="D9">
        <v>6</v>
      </c>
      <c r="E9">
        <v>8</v>
      </c>
      <c r="F9">
        <v>0</v>
      </c>
      <c r="G9">
        <v>0</v>
      </c>
      <c r="H9">
        <v>0</v>
      </c>
      <c r="I9">
        <v>0</v>
      </c>
      <c r="J9" s="1">
        <v>0</v>
      </c>
      <c r="K9">
        <v>0</v>
      </c>
      <c r="L9">
        <v>0</v>
      </c>
      <c r="M9" s="1">
        <v>0</v>
      </c>
      <c r="N9" s="2">
        <v>0</v>
      </c>
      <c r="O9" s="2">
        <v>0</v>
      </c>
      <c r="P9" s="2">
        <v>2</v>
      </c>
      <c r="Q9" s="2"/>
      <c r="R9" s="2"/>
    </row>
    <row r="10" spans="1:18">
      <c r="A10">
        <v>9</v>
      </c>
      <c r="B10" s="1">
        <v>1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 s="1">
        <v>0</v>
      </c>
      <c r="K10">
        <v>0</v>
      </c>
      <c r="L10">
        <v>0</v>
      </c>
      <c r="M10" s="1">
        <v>0</v>
      </c>
      <c r="N10" s="2">
        <v>0</v>
      </c>
      <c r="O10" s="2">
        <v>0</v>
      </c>
      <c r="P10" s="2">
        <v>2</v>
      </c>
      <c r="Q10" s="2"/>
      <c r="R10" s="2"/>
    </row>
    <row r="11" spans="1:18">
      <c r="A11">
        <v>8</v>
      </c>
      <c r="B11" s="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s="1">
        <v>0</v>
      </c>
      <c r="K11">
        <v>0</v>
      </c>
      <c r="L11">
        <v>0</v>
      </c>
      <c r="M11" s="1">
        <v>0</v>
      </c>
      <c r="N11" s="2">
        <v>0</v>
      </c>
      <c r="O11" s="2">
        <v>0</v>
      </c>
      <c r="P11" s="2">
        <v>2</v>
      </c>
      <c r="Q11" s="2"/>
      <c r="R11" s="2"/>
    </row>
    <row r="12" spans="1:18">
      <c r="A12">
        <v>8</v>
      </c>
      <c r="B12" s="1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s="1">
        <v>0</v>
      </c>
      <c r="K12">
        <v>0</v>
      </c>
      <c r="L12">
        <v>0</v>
      </c>
      <c r="M12" s="1">
        <v>0</v>
      </c>
      <c r="N12" s="2">
        <v>0</v>
      </c>
      <c r="O12" s="2">
        <v>0</v>
      </c>
      <c r="P12" s="2">
        <v>2</v>
      </c>
      <c r="Q12" s="2"/>
      <c r="R12" s="2"/>
    </row>
    <row r="13" spans="1:18">
      <c r="A13">
        <v>8</v>
      </c>
      <c r="B13" s="1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s="1">
        <v>0</v>
      </c>
      <c r="K13">
        <v>0</v>
      </c>
      <c r="L13">
        <v>0</v>
      </c>
      <c r="M13" s="1">
        <v>0</v>
      </c>
      <c r="N13" s="2">
        <v>0</v>
      </c>
      <c r="O13" s="2">
        <v>0</v>
      </c>
      <c r="P13" s="2">
        <v>2</v>
      </c>
      <c r="Q13" s="2"/>
      <c r="R13" s="2"/>
    </row>
    <row r="14" spans="1:18">
      <c r="A14">
        <v>8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s="1">
        <v>0</v>
      </c>
      <c r="K14">
        <v>0</v>
      </c>
      <c r="L14">
        <v>0</v>
      </c>
      <c r="M14" s="1">
        <v>0</v>
      </c>
      <c r="N14" s="2">
        <v>0</v>
      </c>
      <c r="O14" s="2">
        <v>0</v>
      </c>
      <c r="P14" s="2">
        <v>2</v>
      </c>
      <c r="Q14" s="2"/>
      <c r="R14" s="2"/>
    </row>
    <row r="15" spans="1:18">
      <c r="A15">
        <v>8</v>
      </c>
      <c r="B15" s="1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s="1">
        <v>0</v>
      </c>
      <c r="K15">
        <v>0</v>
      </c>
      <c r="L15">
        <v>0</v>
      </c>
      <c r="M15" s="1">
        <v>0</v>
      </c>
      <c r="N15" s="2">
        <v>0</v>
      </c>
      <c r="O15" s="2">
        <v>0</v>
      </c>
      <c r="P15" s="2">
        <v>2</v>
      </c>
      <c r="Q15" s="2"/>
      <c r="R15" s="2"/>
    </row>
    <row r="16" spans="1:18">
      <c r="A16">
        <v>8</v>
      </c>
      <c r="B16" s="1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s="1">
        <v>0</v>
      </c>
      <c r="K16">
        <v>0</v>
      </c>
      <c r="L16">
        <v>0</v>
      </c>
      <c r="M16" s="1">
        <v>0</v>
      </c>
      <c r="N16" s="2">
        <v>0</v>
      </c>
      <c r="O16" s="2">
        <v>0</v>
      </c>
      <c r="P16" s="2">
        <v>2</v>
      </c>
      <c r="Q16" s="2"/>
      <c r="R16" s="2"/>
    </row>
    <row r="17" spans="1:18">
      <c r="A17">
        <v>12</v>
      </c>
      <c r="B17" s="1">
        <v>4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 s="1">
        <v>4</v>
      </c>
      <c r="K17">
        <v>4</v>
      </c>
      <c r="L17">
        <v>4</v>
      </c>
      <c r="M17" s="1">
        <v>4</v>
      </c>
      <c r="N17" s="2">
        <v>4</v>
      </c>
      <c r="O17" s="2">
        <v>4</v>
      </c>
      <c r="P17" s="2">
        <v>6</v>
      </c>
      <c r="Q17" s="2"/>
      <c r="R17" s="2"/>
    </row>
    <row r="18" spans="1:18">
      <c r="B18" s="1"/>
      <c r="J18" s="1"/>
      <c r="M18" s="1"/>
      <c r="N18" s="2"/>
      <c r="O18" s="2"/>
      <c r="P18" s="2"/>
      <c r="Q18" s="2"/>
      <c r="R18" s="2"/>
    </row>
    <row r="19" spans="1:18">
      <c r="A19" t="s">
        <v>9</v>
      </c>
      <c r="B19" s="1"/>
      <c r="J19" s="1"/>
      <c r="M19" s="1"/>
      <c r="N19" s="2"/>
      <c r="O19" s="2"/>
      <c r="P19" s="2"/>
      <c r="Q19" s="2"/>
      <c r="R19" s="2"/>
    </row>
    <row r="20" spans="1:18">
      <c r="A20" t="s">
        <v>153</v>
      </c>
      <c r="B20" s="1"/>
      <c r="J20" s="1"/>
      <c r="M20" s="1"/>
      <c r="N20" s="2"/>
      <c r="O20" s="2"/>
      <c r="P20" s="2"/>
      <c r="Q20" s="2"/>
      <c r="R20" s="2"/>
    </row>
    <row r="21" spans="1:18">
      <c r="A21" t="s">
        <v>10</v>
      </c>
      <c r="B21" s="1"/>
      <c r="J21" s="1"/>
      <c r="M21" s="1"/>
      <c r="N21" s="2"/>
      <c r="O21" s="2"/>
      <c r="P21" s="2"/>
      <c r="Q21" s="2"/>
      <c r="R21" s="2"/>
    </row>
    <row r="22" spans="1:18">
      <c r="A22" t="s">
        <v>154</v>
      </c>
      <c r="B22" s="1"/>
      <c r="J22" s="1"/>
      <c r="M22" s="1"/>
      <c r="N22" s="2"/>
      <c r="O22" s="2"/>
      <c r="P22" s="2"/>
      <c r="Q22" s="2"/>
      <c r="R22" s="2"/>
    </row>
    <row r="23" spans="1:18">
      <c r="A23" t="s">
        <v>12</v>
      </c>
      <c r="B23" s="1"/>
      <c r="J23" s="1"/>
      <c r="M23" s="1"/>
      <c r="N23" s="2"/>
      <c r="O23" s="2"/>
      <c r="P23" s="2"/>
      <c r="Q23" s="2"/>
      <c r="R23" s="2"/>
    </row>
    <row r="24" spans="1:18">
      <c r="A24" t="s">
        <v>155</v>
      </c>
      <c r="B24" s="1"/>
      <c r="J24" s="1"/>
      <c r="M24" s="1"/>
      <c r="N24" s="2"/>
      <c r="O24" s="2"/>
      <c r="P24" s="2"/>
      <c r="Q24" s="2"/>
      <c r="R24" s="2"/>
    </row>
    <row r="25" spans="1:18">
      <c r="A25" t="s">
        <v>123</v>
      </c>
      <c r="B25" s="1"/>
      <c r="J25" s="1"/>
      <c r="M25" s="1"/>
      <c r="N25" s="2"/>
      <c r="O25" s="2"/>
      <c r="P25" s="2"/>
      <c r="Q25" s="2"/>
      <c r="R25" s="2"/>
    </row>
    <row r="26" spans="1:18">
      <c r="A26" t="s">
        <v>156</v>
      </c>
      <c r="B26" s="1"/>
      <c r="J26" s="1"/>
      <c r="M26" s="1"/>
      <c r="N26" s="2"/>
      <c r="O26" s="2"/>
      <c r="P26" s="2"/>
      <c r="Q26" s="2"/>
      <c r="R26" s="2"/>
    </row>
    <row r="27" spans="1:18">
      <c r="A27" t="s">
        <v>11</v>
      </c>
      <c r="B27" s="1"/>
      <c r="J27" s="1"/>
      <c r="M27" s="1"/>
      <c r="N27" s="2"/>
      <c r="O27" s="2"/>
      <c r="P27" s="2"/>
      <c r="Q27" s="2"/>
      <c r="R27" s="2"/>
    </row>
    <row r="28" spans="1:18">
      <c r="A28" t="s">
        <v>157</v>
      </c>
      <c r="B28" s="1"/>
      <c r="J28" s="1"/>
      <c r="M28" s="1"/>
      <c r="N28" s="2"/>
      <c r="O28" s="2"/>
      <c r="P28" s="2"/>
      <c r="Q28" s="2"/>
      <c r="R28" s="2"/>
    </row>
    <row r="29" spans="1:18">
      <c r="A29" t="s">
        <v>158</v>
      </c>
      <c r="B29" s="1"/>
      <c r="J29" s="1"/>
      <c r="M29" s="1"/>
      <c r="N29" s="2"/>
      <c r="O29" s="2"/>
      <c r="Q29" s="2"/>
      <c r="R29" s="2"/>
    </row>
    <row r="30" spans="1:18">
      <c r="A30" t="s">
        <v>159</v>
      </c>
      <c r="B30" s="1"/>
      <c r="J30" s="1"/>
      <c r="M30" s="1"/>
      <c r="N30" s="2"/>
      <c r="O30" s="2"/>
      <c r="P30" s="2"/>
      <c r="Q30" s="2"/>
      <c r="R30" s="2"/>
    </row>
    <row r="31" spans="1:18">
      <c r="A31" t="s">
        <v>11</v>
      </c>
      <c r="B31" s="1"/>
      <c r="J31" s="1"/>
      <c r="M31" s="1"/>
      <c r="N31" s="2"/>
      <c r="O31" s="2"/>
      <c r="P31" s="2"/>
      <c r="Q31" s="2"/>
      <c r="R31" s="2"/>
    </row>
    <row r="32" spans="1:18">
      <c r="A32" t="s">
        <v>160</v>
      </c>
      <c r="B32" s="1"/>
      <c r="J32" s="1"/>
      <c r="M32" s="1"/>
      <c r="N32" s="2"/>
      <c r="O32" s="2"/>
      <c r="P32" s="2"/>
      <c r="Q32" s="2"/>
      <c r="R32" s="2"/>
    </row>
    <row r="33" spans="1:18">
      <c r="A33" t="s">
        <v>122</v>
      </c>
      <c r="B33" s="1"/>
      <c r="J33" s="1"/>
      <c r="M33" s="1"/>
      <c r="N33" s="2"/>
      <c r="O33" s="2"/>
      <c r="P33" s="2"/>
      <c r="Q33" s="2"/>
      <c r="R33" s="2"/>
    </row>
    <row r="34" spans="1:18">
      <c r="A34" t="s">
        <v>161</v>
      </c>
      <c r="B34" s="1"/>
      <c r="J34" s="1"/>
      <c r="M34" s="1"/>
      <c r="N34" s="2"/>
      <c r="O34" s="2"/>
      <c r="P34" s="2"/>
      <c r="Q34" s="2"/>
      <c r="R34" s="2"/>
    </row>
    <row r="35" spans="1:18">
      <c r="A35" t="s">
        <v>162</v>
      </c>
      <c r="B35" s="1"/>
      <c r="J35" s="1"/>
      <c r="M35" s="1"/>
      <c r="N35" s="2"/>
      <c r="O35" s="2"/>
      <c r="P35" s="2"/>
      <c r="Q35" s="2"/>
      <c r="R35" s="2"/>
    </row>
    <row r="36" spans="1:18">
      <c r="A36" t="s">
        <v>13</v>
      </c>
      <c r="B36" s="1"/>
      <c r="J36" s="1"/>
      <c r="M36" s="1"/>
      <c r="N36" s="2"/>
      <c r="O36" s="2"/>
      <c r="P36" s="2"/>
      <c r="Q36" s="2"/>
      <c r="R36" s="2"/>
    </row>
    <row r="37" spans="1:18">
      <c r="A37" t="s">
        <v>14</v>
      </c>
      <c r="B37" s="1"/>
      <c r="J37" s="1"/>
      <c r="M37" s="1"/>
      <c r="N37" s="2"/>
      <c r="O37" s="2"/>
      <c r="P37" s="2"/>
      <c r="Q37" s="2"/>
      <c r="R37" s="2"/>
    </row>
    <row r="38" spans="1:18">
      <c r="A38" t="s">
        <v>13</v>
      </c>
      <c r="B38" s="1"/>
      <c r="J38" s="1"/>
      <c r="M38" s="1"/>
      <c r="N38" s="2"/>
      <c r="O38" s="2"/>
      <c r="P38" s="2"/>
      <c r="Q38" s="2"/>
      <c r="R38" s="2"/>
    </row>
    <row r="39" spans="1:18">
      <c r="A39" t="s">
        <v>14</v>
      </c>
      <c r="B39" s="1"/>
      <c r="J39" s="1"/>
      <c r="M39" s="1"/>
      <c r="N39" s="2"/>
      <c r="O39" s="2"/>
      <c r="P39" s="2"/>
      <c r="Q39" s="2"/>
      <c r="R39" s="2"/>
    </row>
    <row r="40" spans="1:18">
      <c r="A40" t="s">
        <v>13</v>
      </c>
      <c r="B40" s="1"/>
      <c r="J40" s="1"/>
      <c r="M40" s="1"/>
      <c r="N40" s="2"/>
      <c r="O40" s="2"/>
      <c r="P40" s="2"/>
      <c r="Q40" s="2"/>
      <c r="R40" s="2"/>
    </row>
    <row r="41" spans="1:18">
      <c r="A41" t="s">
        <v>14</v>
      </c>
      <c r="B41" s="1"/>
      <c r="J41" s="1"/>
      <c r="M41" s="1"/>
      <c r="N41" s="2"/>
      <c r="O41" s="2"/>
      <c r="P41" s="2"/>
      <c r="Q41" s="2"/>
      <c r="R41" s="2"/>
    </row>
    <row r="42" spans="1:18">
      <c r="A42" t="s">
        <v>13</v>
      </c>
      <c r="B42" s="1"/>
      <c r="J42" s="1"/>
      <c r="M42" s="1"/>
      <c r="N42" s="2"/>
      <c r="O42" s="2"/>
      <c r="P42" s="2"/>
      <c r="Q42" s="2"/>
      <c r="R42" s="2"/>
    </row>
    <row r="43" spans="1:18">
      <c r="A43" t="s">
        <v>14</v>
      </c>
      <c r="B43" s="1"/>
      <c r="J43" s="1"/>
      <c r="M43" s="1"/>
      <c r="N43" s="2"/>
      <c r="O43" s="2"/>
      <c r="P43" s="2"/>
      <c r="Q43" s="2"/>
      <c r="R43" s="2"/>
    </row>
    <row r="44" spans="1:18">
      <c r="A44" t="s">
        <v>13</v>
      </c>
      <c r="B44" s="1"/>
      <c r="J44" s="1"/>
      <c r="M44" s="1"/>
      <c r="N44" s="2"/>
      <c r="O44" s="2"/>
      <c r="P44" s="2"/>
      <c r="Q44" s="2"/>
      <c r="R44" s="2"/>
    </row>
    <row r="45" spans="1:18">
      <c r="A45" t="s">
        <v>14</v>
      </c>
      <c r="B45" s="1"/>
      <c r="J45" s="1"/>
      <c r="M45" s="1"/>
      <c r="N45" s="2"/>
      <c r="O45" s="2"/>
      <c r="P45" s="2"/>
      <c r="Q45" s="2"/>
      <c r="R45" s="2"/>
    </row>
    <row r="46" spans="1:18">
      <c r="A46" t="s">
        <v>13</v>
      </c>
      <c r="B46" s="1"/>
      <c r="J46" s="1"/>
      <c r="M46" s="1"/>
      <c r="N46" s="2"/>
      <c r="O46" s="2"/>
      <c r="P46" s="2"/>
      <c r="Q46" s="2"/>
      <c r="R46" s="2"/>
    </row>
    <row r="47" spans="1:18">
      <c r="A47" t="s">
        <v>14</v>
      </c>
      <c r="B47" s="1"/>
      <c r="J47" s="1"/>
      <c r="M47" s="1"/>
      <c r="N47" s="2"/>
      <c r="O47" s="2"/>
      <c r="P47" s="2"/>
      <c r="Q47" s="2"/>
      <c r="R47" s="2"/>
    </row>
    <row r="48" spans="1:18">
      <c r="A48" t="s">
        <v>13</v>
      </c>
      <c r="B48" s="1"/>
      <c r="J48" s="1"/>
      <c r="M48" s="1"/>
      <c r="N48" s="2"/>
      <c r="O48" s="2"/>
      <c r="P48" s="2"/>
      <c r="Q48" s="2"/>
      <c r="R48" s="2"/>
    </row>
    <row r="49" spans="1:18">
      <c r="A49" t="s">
        <v>14</v>
      </c>
      <c r="B49" s="1"/>
      <c r="J49" s="1"/>
      <c r="M49" s="1"/>
      <c r="N49" s="2"/>
      <c r="O49" s="2"/>
      <c r="P49" s="2"/>
      <c r="Q49" s="2"/>
      <c r="R49" s="2"/>
    </row>
    <row r="50" spans="1:18">
      <c r="A50" t="s">
        <v>13</v>
      </c>
      <c r="B50" s="1"/>
      <c r="J50" s="1"/>
      <c r="M50" s="1"/>
      <c r="N50" s="2"/>
      <c r="O50" s="2"/>
      <c r="P50" s="2"/>
      <c r="Q50" s="2"/>
      <c r="R50" s="2"/>
    </row>
    <row r="51" spans="1:18">
      <c r="A51" t="s">
        <v>9</v>
      </c>
      <c r="B51" s="1"/>
      <c r="J51" s="1"/>
      <c r="M51" s="1"/>
      <c r="N51" s="2"/>
      <c r="O51" s="2"/>
      <c r="P51" s="2"/>
      <c r="Q51" s="2"/>
      <c r="R51" s="2"/>
    </row>
    <row r="52" spans="1:18">
      <c r="B52" s="1"/>
      <c r="J52" s="1"/>
      <c r="M52" s="1"/>
      <c r="N52" s="2"/>
      <c r="O52" s="2"/>
      <c r="P52" s="2"/>
      <c r="Q52" s="2"/>
      <c r="R52" s="2"/>
    </row>
    <row r="53" spans="1:18">
      <c r="A53" t="s">
        <v>9</v>
      </c>
      <c r="B53" s="1"/>
      <c r="J53" s="1"/>
      <c r="M53" s="1"/>
      <c r="N53" s="2"/>
      <c r="O53" s="2"/>
      <c r="P53" s="2"/>
      <c r="Q53" s="2"/>
      <c r="R53" s="2"/>
    </row>
    <row r="54" spans="1:18">
      <c r="A54" t="s">
        <v>163</v>
      </c>
      <c r="B54" s="1"/>
      <c r="J54" s="1"/>
      <c r="M54" s="1"/>
      <c r="N54" s="2"/>
      <c r="O54" s="2"/>
      <c r="P54" s="2"/>
      <c r="Q54" s="2"/>
      <c r="R54" s="2"/>
    </row>
    <row r="55" spans="1:18">
      <c r="A55" t="s">
        <v>10</v>
      </c>
      <c r="B55" s="1"/>
      <c r="J55" s="1"/>
      <c r="M55" s="1"/>
      <c r="N55" s="2"/>
      <c r="O55" s="2"/>
      <c r="P55" s="2"/>
      <c r="Q55" s="2"/>
      <c r="R55" s="2"/>
    </row>
    <row r="56" spans="1:18">
      <c r="A56" t="s">
        <v>164</v>
      </c>
      <c r="B56" s="1"/>
      <c r="J56" s="1"/>
      <c r="M56" s="1"/>
      <c r="N56" s="2"/>
      <c r="O56" s="2"/>
      <c r="P56" s="2"/>
      <c r="Q56" s="2"/>
      <c r="R56" s="2"/>
    </row>
    <row r="57" spans="1:18">
      <c r="A57" t="s">
        <v>12</v>
      </c>
      <c r="B57" s="1"/>
      <c r="J57" s="1"/>
      <c r="M57" s="1"/>
      <c r="N57" s="2"/>
      <c r="O57" s="2"/>
      <c r="P57" s="2"/>
      <c r="Q57" s="2"/>
      <c r="R57" s="2"/>
    </row>
    <row r="58" spans="1:18">
      <c r="A58" t="s">
        <v>165</v>
      </c>
      <c r="B58" s="1"/>
      <c r="J58" s="1"/>
      <c r="M58" s="1"/>
      <c r="N58" s="2"/>
      <c r="O58" s="2"/>
      <c r="P58" s="2"/>
      <c r="Q58" s="2"/>
      <c r="R58" s="2"/>
    </row>
    <row r="59" spans="1:18">
      <c r="A59" t="s">
        <v>123</v>
      </c>
      <c r="B59" s="1"/>
      <c r="J59" s="1"/>
      <c r="M59" s="1"/>
      <c r="N59" s="2"/>
      <c r="O59" s="2"/>
      <c r="P59" s="2"/>
      <c r="Q59" s="2"/>
      <c r="R59" s="2"/>
    </row>
    <row r="60" spans="1:18">
      <c r="A60" t="s">
        <v>166</v>
      </c>
      <c r="B60" s="1"/>
      <c r="J60" s="1"/>
      <c r="M60" s="1"/>
      <c r="N60" s="2"/>
      <c r="O60" s="2"/>
      <c r="P60" s="2"/>
      <c r="Q60" s="2"/>
      <c r="R60" s="2"/>
    </row>
    <row r="61" spans="1:18">
      <c r="A61" t="s">
        <v>11</v>
      </c>
      <c r="B61" s="1"/>
      <c r="J61" s="1"/>
      <c r="M61" s="1"/>
      <c r="N61" s="2"/>
      <c r="O61" s="2"/>
      <c r="P61" s="2"/>
      <c r="Q61" s="2"/>
      <c r="R61" s="2"/>
    </row>
    <row r="62" spans="1:18">
      <c r="A62" t="s">
        <v>167</v>
      </c>
      <c r="B62" s="1"/>
      <c r="J62" s="1"/>
      <c r="M62" s="1"/>
      <c r="N62" s="2"/>
      <c r="O62" s="2"/>
      <c r="P62" s="2"/>
      <c r="Q62" s="2"/>
      <c r="R62" s="2"/>
    </row>
    <row r="63" spans="1:18">
      <c r="A63" t="s">
        <v>158</v>
      </c>
      <c r="B63" s="1"/>
      <c r="J63" s="1"/>
      <c r="M63" s="1"/>
      <c r="N63" s="2"/>
      <c r="O63" s="2"/>
      <c r="P63" s="2"/>
      <c r="Q63" s="2"/>
      <c r="R63" s="2"/>
    </row>
    <row r="64" spans="1:18">
      <c r="A64" t="s">
        <v>168</v>
      </c>
      <c r="B64" s="1"/>
      <c r="J64" s="1"/>
      <c r="M64" s="1"/>
      <c r="N64" s="2"/>
      <c r="O64" s="2"/>
      <c r="P64" s="2"/>
      <c r="Q64" s="2"/>
      <c r="R64" s="2"/>
    </row>
    <row r="65" spans="1:18">
      <c r="A65" t="s">
        <v>11</v>
      </c>
      <c r="B65" s="1"/>
      <c r="J65" s="1"/>
      <c r="M65" s="1"/>
      <c r="N65" s="2"/>
      <c r="O65" s="2"/>
      <c r="P65" s="2"/>
      <c r="Q65" s="2"/>
      <c r="R65" s="2"/>
    </row>
    <row r="66" spans="1:18">
      <c r="A66" t="s">
        <v>169</v>
      </c>
      <c r="B66" s="1"/>
      <c r="J66" s="1"/>
      <c r="M66" s="1"/>
      <c r="N66" s="2"/>
      <c r="O66" s="2"/>
      <c r="P66" s="2"/>
      <c r="Q66" s="2"/>
      <c r="R66" s="2"/>
    </row>
    <row r="67" spans="1:18">
      <c r="A67" t="s">
        <v>122</v>
      </c>
      <c r="B67" s="1"/>
      <c r="J67" s="1"/>
      <c r="M67" s="1"/>
      <c r="N67" s="2"/>
      <c r="O67" s="2"/>
      <c r="P67" s="2"/>
      <c r="Q67" s="2"/>
      <c r="R67" s="2"/>
    </row>
    <row r="68" spans="1:18">
      <c r="A68" t="s">
        <v>170</v>
      </c>
      <c r="B68" s="1"/>
      <c r="J68" s="1"/>
      <c r="M68" s="1"/>
      <c r="N68" s="2"/>
      <c r="O68" s="2"/>
      <c r="P68" s="2"/>
      <c r="Q68" s="2"/>
      <c r="R68" s="2"/>
    </row>
    <row r="69" spans="1:18">
      <c r="A69" t="s">
        <v>162</v>
      </c>
      <c r="B69" s="1"/>
      <c r="J69" s="1"/>
      <c r="M69" s="1"/>
      <c r="N69" s="2"/>
      <c r="O69" s="2"/>
      <c r="P69" s="2"/>
      <c r="Q69" s="2"/>
      <c r="R69" s="2"/>
    </row>
    <row r="70" spans="1:18">
      <c r="A70" t="s">
        <v>171</v>
      </c>
      <c r="B70" s="1"/>
      <c r="J70" s="1"/>
      <c r="M70" s="1"/>
      <c r="N70" s="2"/>
      <c r="O70" s="2"/>
      <c r="P70" s="2"/>
      <c r="Q70" s="2"/>
      <c r="R70" s="2"/>
    </row>
    <row r="71" spans="1:18">
      <c r="A71" t="s">
        <v>14</v>
      </c>
      <c r="B71" s="1"/>
      <c r="J71" s="1"/>
      <c r="M71" s="1"/>
      <c r="N71" s="2"/>
      <c r="O71" s="2"/>
      <c r="P71" s="2"/>
      <c r="Q71" s="2"/>
      <c r="R71" s="2"/>
    </row>
    <row r="72" spans="1:18">
      <c r="A72" t="s">
        <v>172</v>
      </c>
      <c r="B72" s="1"/>
      <c r="J72" s="1"/>
      <c r="M72" s="1"/>
      <c r="N72" s="2"/>
      <c r="O72" s="2"/>
      <c r="P72" s="2"/>
      <c r="Q72" s="2"/>
      <c r="R72" s="2"/>
    </row>
    <row r="73" spans="1:18">
      <c r="A73" t="s">
        <v>14</v>
      </c>
      <c r="B73" s="1"/>
      <c r="J73" s="1"/>
      <c r="M73" s="1"/>
      <c r="N73" s="2"/>
      <c r="O73" s="2"/>
      <c r="P73" s="2"/>
      <c r="Q73" s="2"/>
      <c r="R73" s="2"/>
    </row>
    <row r="74" spans="1:18">
      <c r="A74" t="s">
        <v>173</v>
      </c>
      <c r="B74" s="1"/>
      <c r="J74" s="1"/>
      <c r="M74" s="1"/>
      <c r="N74" s="2"/>
      <c r="O74" s="2"/>
      <c r="P74" s="2"/>
      <c r="Q74" s="2"/>
      <c r="R74" s="2"/>
    </row>
    <row r="75" spans="1:18">
      <c r="A75" t="s">
        <v>14</v>
      </c>
      <c r="B75" s="1"/>
      <c r="J75" s="1"/>
      <c r="M75" s="1"/>
      <c r="N75" s="2"/>
      <c r="O75" s="2"/>
      <c r="P75" s="2"/>
      <c r="Q75" s="2"/>
      <c r="R75" s="2"/>
    </row>
    <row r="76" spans="1:18">
      <c r="A76" t="s">
        <v>174</v>
      </c>
      <c r="B76" s="1"/>
      <c r="J76" s="1"/>
      <c r="M76" s="1"/>
      <c r="N76" s="2"/>
      <c r="O76" s="2"/>
      <c r="P76" s="2"/>
      <c r="Q76" s="2"/>
      <c r="R76" s="2"/>
    </row>
    <row r="77" spans="1:18">
      <c r="A77" t="s">
        <v>14</v>
      </c>
      <c r="B77" s="1"/>
      <c r="J77" s="1"/>
      <c r="M77" s="1"/>
      <c r="N77" s="2"/>
      <c r="O77" s="2"/>
      <c r="P77" s="2"/>
      <c r="Q77" s="2"/>
      <c r="R77" s="2"/>
    </row>
    <row r="78" spans="1:18">
      <c r="A78" t="s">
        <v>175</v>
      </c>
      <c r="B78" s="1"/>
      <c r="J78" s="1"/>
      <c r="M78" s="1"/>
      <c r="N78" s="2"/>
      <c r="O78" s="2"/>
      <c r="P78" s="2"/>
      <c r="Q78" s="2"/>
      <c r="R78" s="2"/>
    </row>
    <row r="79" spans="1:18">
      <c r="A79" t="s">
        <v>14</v>
      </c>
      <c r="B79" s="1"/>
      <c r="J79" s="1"/>
      <c r="M79" s="1"/>
      <c r="N79" s="2"/>
      <c r="O79" s="2"/>
      <c r="P79" s="2"/>
      <c r="Q79" s="2"/>
      <c r="R79" s="2"/>
    </row>
    <row r="80" spans="1:18">
      <c r="A80" t="s">
        <v>176</v>
      </c>
      <c r="B80" s="1"/>
      <c r="J80" s="1"/>
      <c r="M80" s="1"/>
      <c r="N80" s="2"/>
      <c r="O80" s="2"/>
      <c r="P80" s="2"/>
      <c r="Q80" s="2"/>
      <c r="R80" s="2"/>
    </row>
    <row r="81" spans="1:18">
      <c r="A81" t="s">
        <v>14</v>
      </c>
      <c r="B81" s="1"/>
      <c r="J81" s="1"/>
      <c r="M81" s="1"/>
      <c r="N81" s="2"/>
      <c r="O81" s="2"/>
      <c r="P81" s="2"/>
      <c r="Q81" s="2"/>
      <c r="R81" s="2"/>
    </row>
    <row r="82" spans="1:18">
      <c r="A82" t="s">
        <v>177</v>
      </c>
      <c r="B82" s="1"/>
      <c r="J82" s="1"/>
      <c r="M82" s="1"/>
      <c r="N82" s="2"/>
      <c r="O82" s="2"/>
      <c r="P82" s="2"/>
      <c r="Q82" s="2"/>
      <c r="R82" s="2"/>
    </row>
    <row r="83" spans="1:18">
      <c r="A83" t="s">
        <v>14</v>
      </c>
      <c r="B83" s="1"/>
      <c r="J83" s="1"/>
      <c r="M83" s="1"/>
      <c r="N83" s="2"/>
      <c r="O83" s="2"/>
      <c r="P83" s="2"/>
      <c r="Q83" s="2"/>
      <c r="R83" s="2"/>
    </row>
    <row r="84" spans="1:18">
      <c r="A84" t="s">
        <v>178</v>
      </c>
      <c r="B84" s="1"/>
      <c r="J84" s="1"/>
      <c r="M84" s="1"/>
      <c r="N84" s="2"/>
      <c r="O84" s="2"/>
      <c r="P84" s="2"/>
      <c r="Q84" s="2"/>
      <c r="R84" s="2"/>
    </row>
    <row r="85" spans="1:18">
      <c r="A85" t="s">
        <v>9</v>
      </c>
      <c r="B85" s="1"/>
      <c r="J85" s="1"/>
      <c r="M85" s="1"/>
      <c r="N85" s="2"/>
      <c r="O85" s="2"/>
      <c r="P85" s="2"/>
      <c r="Q85" s="2"/>
      <c r="R85" s="2"/>
    </row>
    <row r="86" spans="1:18">
      <c r="B86" s="1"/>
      <c r="J86" s="1"/>
      <c r="M86" s="1"/>
      <c r="N86" s="2"/>
      <c r="O86" s="2"/>
      <c r="P86" s="2"/>
      <c r="Q86" s="2"/>
      <c r="R86" s="2"/>
    </row>
    <row r="87" spans="1:18">
      <c r="B87" s="1"/>
      <c r="J87" s="1"/>
      <c r="M87" s="1"/>
      <c r="N87" s="2"/>
      <c r="O87" s="2"/>
      <c r="P87" s="2"/>
      <c r="Q87" s="2"/>
      <c r="R87" s="2"/>
    </row>
    <row r="88" spans="1:18">
      <c r="A88" t="s">
        <v>9</v>
      </c>
      <c r="B88" s="1"/>
      <c r="J88" s="1"/>
      <c r="M88" s="1"/>
      <c r="N88" s="2"/>
      <c r="O88" s="2"/>
      <c r="P88" s="2"/>
      <c r="Q88" s="2"/>
      <c r="R88" s="2"/>
    </row>
    <row r="89" spans="1:18">
      <c r="A89" t="s">
        <v>179</v>
      </c>
      <c r="B89" s="1"/>
      <c r="J89" s="1"/>
      <c r="M89" s="1"/>
      <c r="N89" s="2"/>
      <c r="O89" s="2"/>
      <c r="P89" s="2"/>
      <c r="Q89" s="2"/>
      <c r="R89" s="2"/>
    </row>
    <row r="90" spans="1:18">
      <c r="A90" t="s">
        <v>10</v>
      </c>
      <c r="B90" s="1"/>
      <c r="J90" s="1"/>
      <c r="M90" s="1"/>
      <c r="N90" s="2"/>
      <c r="O90" s="2"/>
      <c r="P90" s="2"/>
      <c r="Q90" s="2"/>
      <c r="R90" s="2"/>
    </row>
    <row r="91" spans="1:18">
      <c r="A91" t="s">
        <v>180</v>
      </c>
      <c r="B91" s="1"/>
      <c r="J91" s="1"/>
      <c r="M91" s="1"/>
      <c r="N91" s="2"/>
      <c r="O91" s="2"/>
      <c r="P91" s="2"/>
      <c r="Q91" s="2"/>
      <c r="R91" s="2"/>
    </row>
    <row r="92" spans="1:18">
      <c r="A92" t="s">
        <v>12</v>
      </c>
      <c r="B92" s="1"/>
      <c r="J92" s="1"/>
      <c r="M92" s="1"/>
      <c r="N92" s="2"/>
      <c r="O92" s="2"/>
      <c r="P92" s="2"/>
      <c r="Q92" s="2"/>
      <c r="R92" s="2"/>
    </row>
    <row r="93" spans="1:18">
      <c r="A93" t="s">
        <v>181</v>
      </c>
      <c r="B93" s="1"/>
      <c r="J93" s="1"/>
      <c r="M93" s="1"/>
      <c r="N93" s="2"/>
      <c r="O93" s="2"/>
      <c r="P93" s="2"/>
      <c r="Q93" s="2"/>
      <c r="R93" s="2"/>
    </row>
    <row r="94" spans="1:18">
      <c r="A94" t="s">
        <v>123</v>
      </c>
      <c r="B94" s="1"/>
      <c r="J94" s="1"/>
      <c r="M94" s="1"/>
      <c r="N94" s="2"/>
      <c r="O94" s="2"/>
      <c r="P94" s="2"/>
      <c r="Q94" s="2"/>
      <c r="R94" s="2"/>
    </row>
    <row r="95" spans="1:18">
      <c r="A95" t="s">
        <v>182</v>
      </c>
      <c r="B95" s="1"/>
      <c r="J95" s="1"/>
      <c r="M95" s="1"/>
      <c r="N95" s="2"/>
      <c r="O95" s="2"/>
      <c r="P95" s="2"/>
      <c r="Q95" s="2"/>
      <c r="R95" s="2"/>
    </row>
    <row r="96" spans="1:18">
      <c r="A96" t="s">
        <v>11</v>
      </c>
      <c r="B96" s="1"/>
      <c r="J96" s="1"/>
      <c r="M96" s="1"/>
      <c r="N96" s="2"/>
      <c r="O96" s="2"/>
      <c r="P96" s="2"/>
      <c r="Q96" s="2"/>
      <c r="R96" s="2"/>
    </row>
    <row r="97" spans="1:18">
      <c r="A97" t="s">
        <v>183</v>
      </c>
      <c r="B97" s="1"/>
      <c r="J97" s="1"/>
      <c r="M97" s="1"/>
      <c r="N97" s="2"/>
      <c r="O97" s="2"/>
      <c r="P97" s="2"/>
      <c r="Q97" s="2"/>
      <c r="R97" s="2"/>
    </row>
    <row r="98" spans="1:18">
      <c r="A98" t="s">
        <v>158</v>
      </c>
      <c r="B98" s="1"/>
      <c r="J98" s="1"/>
      <c r="M98" s="1"/>
      <c r="N98" s="2"/>
      <c r="O98" s="2"/>
      <c r="P98" s="2"/>
      <c r="Q98" s="2"/>
      <c r="R98" s="2"/>
    </row>
    <row r="99" spans="1:18">
      <c r="A99" t="s">
        <v>184</v>
      </c>
      <c r="B99" s="1"/>
      <c r="J99" s="1"/>
      <c r="M99" s="1"/>
      <c r="N99" s="2"/>
      <c r="O99" s="2"/>
      <c r="P99" s="2"/>
      <c r="Q99" s="2"/>
      <c r="R99" s="2"/>
    </row>
    <row r="100" spans="1:18">
      <c r="A100" t="s">
        <v>11</v>
      </c>
      <c r="B100" s="1"/>
      <c r="J100" s="1"/>
      <c r="M100" s="1"/>
      <c r="N100" s="2"/>
      <c r="O100" s="2"/>
      <c r="P100" s="2"/>
      <c r="Q100" s="2"/>
      <c r="R100" s="2"/>
    </row>
    <row r="101" spans="1:18">
      <c r="A101" t="s">
        <v>185</v>
      </c>
      <c r="B101" s="1"/>
      <c r="J101" s="1"/>
      <c r="M101" s="1"/>
      <c r="N101" s="2"/>
      <c r="O101" s="2"/>
      <c r="P101" s="2"/>
      <c r="Q101" s="2"/>
      <c r="R101" s="2"/>
    </row>
    <row r="102" spans="1:18">
      <c r="A102" t="s">
        <v>122</v>
      </c>
      <c r="B102" s="1"/>
      <c r="J102" s="1"/>
      <c r="M102" s="1"/>
      <c r="N102" s="2"/>
      <c r="O102" s="2"/>
      <c r="P102" s="2"/>
      <c r="Q102" s="2"/>
      <c r="R102" s="2"/>
    </row>
    <row r="103" spans="1:18">
      <c r="A103" t="s">
        <v>186</v>
      </c>
      <c r="B103" s="1"/>
      <c r="J103" s="1"/>
      <c r="M103" s="1"/>
      <c r="N103" s="2"/>
      <c r="O103" s="2"/>
      <c r="P103" s="2"/>
      <c r="Q103" s="2"/>
      <c r="R103" s="2"/>
    </row>
    <row r="104" spans="1:18">
      <c r="A104" t="s">
        <v>162</v>
      </c>
      <c r="B104" s="1"/>
      <c r="J104" s="1"/>
      <c r="M104" s="1"/>
      <c r="N104" s="2"/>
      <c r="O104" s="2"/>
      <c r="P104" s="2"/>
      <c r="Q104" s="2"/>
      <c r="R104" s="2"/>
    </row>
    <row r="105" spans="1:18">
      <c r="A105" t="s">
        <v>13</v>
      </c>
      <c r="B105" s="1"/>
      <c r="J105" s="1"/>
      <c r="M105" s="1"/>
      <c r="N105" s="2"/>
      <c r="O105" s="2"/>
      <c r="P105" s="2"/>
      <c r="Q105" s="2"/>
      <c r="R105" s="2"/>
    </row>
    <row r="106" spans="1:18">
      <c r="A106" t="s">
        <v>14</v>
      </c>
      <c r="B106" s="1"/>
      <c r="J106" s="1"/>
      <c r="M106" s="1"/>
      <c r="N106" s="2"/>
      <c r="O106" s="2"/>
      <c r="P106" s="2"/>
      <c r="Q106" s="2"/>
      <c r="R106" s="2"/>
    </row>
    <row r="107" spans="1:18">
      <c r="A107" t="s">
        <v>13</v>
      </c>
      <c r="B107" s="1"/>
      <c r="J107" s="1"/>
      <c r="M107" s="1"/>
      <c r="N107" s="2"/>
      <c r="O107" s="2"/>
      <c r="P107" s="2"/>
      <c r="Q107" s="2"/>
      <c r="R107" s="2"/>
    </row>
    <row r="108" spans="1:18">
      <c r="A108" t="s">
        <v>14</v>
      </c>
      <c r="B108" s="1"/>
      <c r="J108" s="1"/>
      <c r="M108" s="1"/>
      <c r="N108" s="2"/>
      <c r="O108" s="2"/>
      <c r="P108" s="2"/>
      <c r="Q108" s="2"/>
      <c r="R108" s="2"/>
    </row>
    <row r="109" spans="1:18">
      <c r="A109" t="s">
        <v>13</v>
      </c>
      <c r="B109" s="1"/>
      <c r="J109" s="1"/>
      <c r="M109" s="1"/>
      <c r="N109" s="2"/>
      <c r="O109" s="2"/>
      <c r="P109" s="2"/>
      <c r="Q109" s="2"/>
      <c r="R109" s="2"/>
    </row>
    <row r="110" spans="1:18">
      <c r="A110" t="s">
        <v>14</v>
      </c>
      <c r="B110" s="1"/>
      <c r="J110" s="1"/>
      <c r="M110" s="1"/>
      <c r="N110" s="2"/>
      <c r="O110" s="2"/>
      <c r="P110" s="2"/>
      <c r="Q110" s="2"/>
      <c r="R110" s="2"/>
    </row>
    <row r="111" spans="1:18">
      <c r="A111" t="s">
        <v>13</v>
      </c>
      <c r="B111" s="1"/>
      <c r="J111" s="1"/>
      <c r="M111" s="1"/>
      <c r="N111" s="2"/>
      <c r="O111" s="2"/>
      <c r="P111" s="2"/>
      <c r="Q111" s="2"/>
      <c r="R111" s="2"/>
    </row>
    <row r="112" spans="1:18">
      <c r="A112" t="s">
        <v>14</v>
      </c>
      <c r="B112" s="1"/>
      <c r="J112" s="1"/>
      <c r="M112" s="1"/>
      <c r="N112" s="2"/>
      <c r="O112" s="2"/>
      <c r="P112" s="2"/>
      <c r="Q112" s="2"/>
      <c r="R112" s="2"/>
    </row>
    <row r="113" spans="1:18">
      <c r="A113" t="s">
        <v>13</v>
      </c>
      <c r="B113" s="1"/>
      <c r="J113" s="1"/>
      <c r="M113" s="1"/>
      <c r="N113" s="2"/>
      <c r="O113" s="2"/>
      <c r="P113" s="2"/>
      <c r="Q113" s="2"/>
      <c r="R113" s="2"/>
    </row>
    <row r="114" spans="1:18">
      <c r="A114" t="s">
        <v>14</v>
      </c>
      <c r="B114" s="1"/>
      <c r="J114" s="1"/>
      <c r="M114" s="1"/>
      <c r="N114" s="2"/>
      <c r="O114" s="2"/>
      <c r="P114" s="2"/>
      <c r="Q114" s="2"/>
      <c r="R114" s="2"/>
    </row>
    <row r="115" spans="1:18">
      <c r="A115" t="s">
        <v>13</v>
      </c>
      <c r="B115" s="1"/>
      <c r="J115" s="1"/>
      <c r="M115" s="1"/>
      <c r="N115" s="2"/>
      <c r="O115" s="2"/>
      <c r="P115" s="2"/>
      <c r="Q115" s="2"/>
      <c r="R115" s="2"/>
    </row>
    <row r="116" spans="1:18">
      <c r="A116" t="s">
        <v>14</v>
      </c>
      <c r="B116" s="1"/>
      <c r="J116" s="1"/>
      <c r="M116" s="1"/>
      <c r="N116" s="2"/>
      <c r="O116" s="2"/>
      <c r="P116" s="2"/>
      <c r="Q116" s="2"/>
      <c r="R116" s="2"/>
    </row>
    <row r="117" spans="1:18">
      <c r="A117" t="s">
        <v>13</v>
      </c>
      <c r="B117" s="1"/>
      <c r="J117" s="1"/>
      <c r="M117" s="1"/>
      <c r="N117" s="2"/>
      <c r="O117" s="2"/>
      <c r="P117" s="2"/>
      <c r="Q117" s="2"/>
      <c r="R117" s="2"/>
    </row>
    <row r="118" spans="1:18">
      <c r="A118" t="s">
        <v>14</v>
      </c>
      <c r="B118" s="1"/>
      <c r="J118" s="1"/>
      <c r="M118" s="1"/>
      <c r="N118" s="2"/>
      <c r="O118" s="2"/>
      <c r="P118" s="2"/>
      <c r="Q118" s="2"/>
      <c r="R118" s="2"/>
    </row>
    <row r="119" spans="1:18">
      <c r="A119" t="s">
        <v>13</v>
      </c>
      <c r="B119" s="1"/>
      <c r="J119" s="1"/>
      <c r="M119" s="1"/>
      <c r="N119" s="2"/>
      <c r="O119" s="2"/>
      <c r="P119" s="2"/>
      <c r="Q119" s="2"/>
      <c r="R119" s="2"/>
    </row>
    <row r="120" spans="1:18">
      <c r="A120" t="s">
        <v>9</v>
      </c>
      <c r="B120" s="1"/>
      <c r="J120" s="1"/>
      <c r="M120" s="1"/>
      <c r="N120" s="2"/>
      <c r="O120" s="2"/>
      <c r="P120" s="2"/>
      <c r="Q120" s="2"/>
      <c r="R120" s="2"/>
    </row>
    <row r="121" spans="1:18">
      <c r="B121" s="1"/>
      <c r="J121" s="1"/>
      <c r="M121" s="1"/>
      <c r="N121" s="2"/>
      <c r="O121" s="2"/>
      <c r="P121" s="2"/>
      <c r="Q121" s="2"/>
      <c r="R121" s="2"/>
    </row>
    <row r="122" spans="1:18">
      <c r="B122" s="1"/>
      <c r="J122" s="1"/>
      <c r="M122" s="1"/>
      <c r="N122" s="2"/>
      <c r="O122" s="2"/>
      <c r="P122" s="2"/>
      <c r="Q122" s="2"/>
      <c r="R122" s="2"/>
    </row>
    <row r="123" spans="1:18">
      <c r="A123" t="s">
        <v>9</v>
      </c>
      <c r="B123" s="1"/>
      <c r="J123" s="1"/>
      <c r="M123" s="1"/>
      <c r="N123" s="2"/>
      <c r="O123" s="2"/>
      <c r="P123" s="2"/>
      <c r="Q123" s="2"/>
      <c r="R123" s="2"/>
    </row>
    <row r="124" spans="1:18">
      <c r="A124" t="s">
        <v>187</v>
      </c>
      <c r="B124" s="1"/>
      <c r="J124" s="1"/>
      <c r="M124" s="1"/>
      <c r="N124" s="2"/>
      <c r="O124" s="2"/>
      <c r="P124" s="2"/>
      <c r="Q124" s="2"/>
      <c r="R124" s="2"/>
    </row>
    <row r="125" spans="1:18">
      <c r="A125" t="s">
        <v>10</v>
      </c>
      <c r="B125" s="1"/>
      <c r="J125" s="1"/>
      <c r="M125" s="1"/>
      <c r="N125" s="2"/>
      <c r="O125" s="2"/>
      <c r="P125" s="2"/>
      <c r="Q125" s="2"/>
      <c r="R125" s="2"/>
    </row>
    <row r="126" spans="1:18">
      <c r="A126" t="s">
        <v>188</v>
      </c>
      <c r="B126" s="1"/>
      <c r="J126" s="1"/>
      <c r="M126" s="1"/>
      <c r="N126" s="2"/>
      <c r="O126" s="2"/>
      <c r="P126" s="2"/>
      <c r="Q126" s="2"/>
      <c r="R126" s="2"/>
    </row>
    <row r="127" spans="1:18">
      <c r="A127" t="s">
        <v>12</v>
      </c>
      <c r="B127" s="1"/>
      <c r="J127" s="1"/>
      <c r="M127" s="1"/>
      <c r="N127" s="2"/>
      <c r="O127" s="2"/>
      <c r="P127" s="2"/>
      <c r="Q127" s="2"/>
      <c r="R127" s="2"/>
    </row>
    <row r="128" spans="1:18">
      <c r="A128" t="s">
        <v>189</v>
      </c>
      <c r="B128" s="1"/>
      <c r="J128" s="1"/>
      <c r="M128" s="1"/>
      <c r="N128" s="2"/>
      <c r="O128" s="2"/>
      <c r="P128" s="2"/>
      <c r="Q128" s="2"/>
      <c r="R128" s="2"/>
    </row>
    <row r="129" spans="1:18">
      <c r="A129" t="s">
        <v>123</v>
      </c>
      <c r="B129" s="1"/>
      <c r="J129" s="1"/>
      <c r="M129" s="1"/>
      <c r="N129" s="2"/>
      <c r="O129" s="2"/>
      <c r="P129" s="2"/>
      <c r="Q129" s="2"/>
      <c r="R129" s="2"/>
    </row>
    <row r="130" spans="1:18">
      <c r="A130" t="s">
        <v>190</v>
      </c>
      <c r="B130" s="1"/>
      <c r="J130" s="1"/>
      <c r="M130" s="1"/>
      <c r="N130" s="2"/>
      <c r="O130" s="2"/>
      <c r="P130" s="2"/>
      <c r="Q130" s="2"/>
      <c r="R130" s="2"/>
    </row>
    <row r="131" spans="1:18">
      <c r="A131" t="s">
        <v>11</v>
      </c>
      <c r="B131" s="1"/>
      <c r="J131" s="1"/>
      <c r="M131" s="1"/>
      <c r="N131" s="2"/>
      <c r="O131" s="2"/>
      <c r="P131" s="2"/>
      <c r="Q131" s="2"/>
      <c r="R131" s="2"/>
    </row>
    <row r="132" spans="1:18">
      <c r="A132" t="s">
        <v>191</v>
      </c>
      <c r="B132" s="1"/>
      <c r="J132" s="1"/>
      <c r="M132" s="1"/>
      <c r="N132" s="2"/>
      <c r="O132" s="2"/>
      <c r="P132" s="2"/>
      <c r="Q132" s="2"/>
      <c r="R132" s="2"/>
    </row>
    <row r="133" spans="1:18">
      <c r="A133" t="s">
        <v>158</v>
      </c>
      <c r="B133" s="1"/>
      <c r="J133" s="1"/>
      <c r="M133" s="1"/>
      <c r="N133" s="2"/>
      <c r="O133" s="2"/>
      <c r="P133" s="2"/>
      <c r="Q133" s="2"/>
      <c r="R133" s="2"/>
    </row>
    <row r="134" spans="1:18">
      <c r="A134" t="s">
        <v>192</v>
      </c>
      <c r="B134" s="1"/>
      <c r="J134" s="1"/>
      <c r="M134" s="1"/>
      <c r="N134" s="2"/>
      <c r="O134" s="2"/>
      <c r="P134" s="2"/>
      <c r="Q134" s="2"/>
      <c r="R134" s="2"/>
    </row>
    <row r="135" spans="1:18">
      <c r="A135" t="s">
        <v>11</v>
      </c>
      <c r="B135" s="1"/>
      <c r="J135" s="1"/>
      <c r="M135" s="1"/>
      <c r="N135" s="2"/>
      <c r="O135" s="2"/>
      <c r="P135" s="2"/>
      <c r="Q135" s="2"/>
      <c r="R135" s="2"/>
    </row>
    <row r="136" spans="1:18">
      <c r="A136" t="s">
        <v>193</v>
      </c>
      <c r="B136" s="1"/>
      <c r="J136" s="1"/>
      <c r="M136" s="1"/>
      <c r="N136" s="2"/>
      <c r="O136" s="2"/>
      <c r="P136" s="2"/>
      <c r="Q136" s="2"/>
      <c r="R136" s="2"/>
    </row>
    <row r="137" spans="1:18">
      <c r="A137" t="s">
        <v>122</v>
      </c>
      <c r="B137" s="1"/>
      <c r="J137" s="1"/>
      <c r="M137" s="1"/>
      <c r="N137" s="2"/>
      <c r="O137" s="2"/>
      <c r="P137" s="2"/>
      <c r="Q137" s="2"/>
      <c r="R137" s="2"/>
    </row>
    <row r="138" spans="1:18">
      <c r="A138" t="s">
        <v>194</v>
      </c>
      <c r="B138" s="1"/>
      <c r="J138" s="1"/>
      <c r="M138" s="1"/>
      <c r="N138" s="2"/>
      <c r="O138" s="2"/>
      <c r="P138" s="2"/>
      <c r="Q138" s="2"/>
      <c r="R138" s="2"/>
    </row>
    <row r="139" spans="1:18">
      <c r="A139" t="s">
        <v>162</v>
      </c>
      <c r="B139" s="1"/>
      <c r="J139" s="1"/>
      <c r="M139" s="1"/>
      <c r="N139" s="2"/>
      <c r="O139" s="2"/>
      <c r="P139" s="2"/>
      <c r="Q139" s="2"/>
      <c r="R139" s="2"/>
    </row>
    <row r="140" spans="1:18">
      <c r="A140" t="s">
        <v>195</v>
      </c>
      <c r="B140" s="1"/>
      <c r="J140" s="1"/>
      <c r="M140" s="1"/>
      <c r="N140" s="2"/>
      <c r="O140" s="2"/>
      <c r="P140" s="2"/>
      <c r="Q140" s="2"/>
      <c r="R140" s="2"/>
    </row>
    <row r="141" spans="1:18">
      <c r="A141" t="s">
        <v>14</v>
      </c>
      <c r="B141" s="1"/>
      <c r="J141" s="1"/>
      <c r="M141" s="1"/>
      <c r="N141" s="2"/>
      <c r="O141" s="2"/>
      <c r="P141" s="2"/>
      <c r="Q141" s="2"/>
      <c r="R141" s="2"/>
    </row>
    <row r="142" spans="1:18">
      <c r="A142" t="s">
        <v>196</v>
      </c>
      <c r="B142" s="1"/>
      <c r="J142" s="1"/>
      <c r="M142" s="1"/>
      <c r="N142" s="2"/>
      <c r="O142" s="2"/>
      <c r="P142" s="2"/>
      <c r="Q142" s="2"/>
      <c r="R142" s="2"/>
    </row>
    <row r="143" spans="1:18">
      <c r="A143" t="s">
        <v>14</v>
      </c>
      <c r="B143" s="1"/>
      <c r="J143" s="1"/>
      <c r="M143" s="1"/>
      <c r="N143" s="2"/>
      <c r="O143" s="2"/>
      <c r="P143" s="2"/>
      <c r="Q143" s="2"/>
      <c r="R143" s="2"/>
    </row>
    <row r="144" spans="1:18">
      <c r="A144" t="s">
        <v>197</v>
      </c>
      <c r="B144" s="1"/>
      <c r="J144" s="1"/>
      <c r="M144" s="1"/>
      <c r="N144" s="2"/>
      <c r="O144" s="2"/>
      <c r="P144" s="2"/>
      <c r="Q144" s="2"/>
      <c r="R144" s="2"/>
    </row>
    <row r="145" spans="1:18">
      <c r="A145" t="s">
        <v>14</v>
      </c>
      <c r="B145" s="1"/>
      <c r="J145" s="1"/>
      <c r="M145" s="1"/>
      <c r="N145" s="2"/>
      <c r="O145" s="2"/>
      <c r="P145" s="2"/>
      <c r="Q145" s="2"/>
      <c r="R145" s="2"/>
    </row>
    <row r="146" spans="1:18">
      <c r="A146" t="s">
        <v>198</v>
      </c>
      <c r="B146" s="1"/>
      <c r="J146" s="1"/>
      <c r="M146" s="1"/>
      <c r="N146" s="2"/>
      <c r="O146" s="2"/>
      <c r="P146" s="2"/>
      <c r="Q146" s="2"/>
      <c r="R146" s="2"/>
    </row>
    <row r="147" spans="1:18">
      <c r="A147" t="s">
        <v>14</v>
      </c>
      <c r="B147" s="1"/>
      <c r="J147" s="1"/>
      <c r="M147" s="1"/>
      <c r="N147" s="2"/>
      <c r="O147" s="2"/>
      <c r="P147" s="2"/>
      <c r="Q147" s="2"/>
      <c r="R147" s="2"/>
    </row>
    <row r="148" spans="1:18">
      <c r="A148" t="s">
        <v>199</v>
      </c>
      <c r="B148" s="1"/>
      <c r="J148" s="1"/>
      <c r="M148" s="1"/>
      <c r="N148" s="2"/>
      <c r="O148" s="2"/>
      <c r="P148" s="2"/>
      <c r="Q148" s="2"/>
      <c r="R148" s="2"/>
    </row>
    <row r="149" spans="1:18">
      <c r="A149" t="s">
        <v>14</v>
      </c>
      <c r="B149" s="1"/>
      <c r="J149" s="1"/>
      <c r="M149" s="1"/>
      <c r="N149" s="2"/>
      <c r="O149" s="2"/>
      <c r="P149" s="2"/>
      <c r="Q149" s="2"/>
      <c r="R149" s="2"/>
    </row>
    <row r="150" spans="1:18">
      <c r="A150" t="s">
        <v>200</v>
      </c>
      <c r="B150" s="1"/>
      <c r="J150" s="1"/>
      <c r="M150" s="1"/>
      <c r="N150" s="2"/>
      <c r="O150" s="2"/>
      <c r="P150" s="2"/>
      <c r="Q150" s="2"/>
      <c r="R150" s="2"/>
    </row>
    <row r="151" spans="1:18">
      <c r="A151" t="s">
        <v>14</v>
      </c>
      <c r="B151" s="1"/>
      <c r="J151" s="1"/>
      <c r="M151" s="1"/>
      <c r="N151" s="2"/>
      <c r="O151" s="2"/>
      <c r="P151" s="2"/>
      <c r="Q151" s="2"/>
      <c r="R151" s="2"/>
    </row>
    <row r="152" spans="1:18">
      <c r="A152" t="s">
        <v>201</v>
      </c>
      <c r="B152" s="1"/>
      <c r="J152" s="1"/>
      <c r="M152" s="1"/>
      <c r="N152" s="2"/>
      <c r="O152" s="2"/>
      <c r="P152" s="2"/>
      <c r="Q152" s="2"/>
      <c r="R152" s="2"/>
    </row>
    <row r="153" spans="1:18">
      <c r="A153" t="s">
        <v>14</v>
      </c>
      <c r="B153" s="1"/>
      <c r="J153" s="1"/>
      <c r="M153" s="1"/>
      <c r="N153" s="2"/>
      <c r="O153" s="2"/>
      <c r="P153" s="2"/>
      <c r="Q153" s="2"/>
      <c r="R153" s="2"/>
    </row>
    <row r="154" spans="1:18">
      <c r="A154" t="s">
        <v>202</v>
      </c>
      <c r="B154" s="1"/>
      <c r="J154" s="1"/>
      <c r="M154" s="1"/>
      <c r="N154" s="2"/>
      <c r="O154" s="2"/>
      <c r="P154" s="2"/>
      <c r="Q154" s="2"/>
      <c r="R154" s="2"/>
    </row>
    <row r="155" spans="1:18">
      <c r="A155" t="s">
        <v>9</v>
      </c>
      <c r="B155" s="1"/>
      <c r="J155" s="1"/>
      <c r="M155" s="1"/>
      <c r="N155" s="2"/>
      <c r="O155" s="2"/>
      <c r="P155" s="2"/>
      <c r="Q155" s="2"/>
      <c r="R155" s="2"/>
    </row>
    <row r="156" spans="1:18">
      <c r="B156" s="1"/>
      <c r="J156" s="1"/>
      <c r="M156" s="1"/>
      <c r="N156" s="2"/>
      <c r="O156" s="2"/>
      <c r="P156" s="2"/>
      <c r="Q156" s="2"/>
      <c r="R156" s="2"/>
    </row>
    <row r="157" spans="1:18">
      <c r="B157" s="1"/>
      <c r="J157" s="1"/>
      <c r="M157" s="1"/>
      <c r="N157" s="2"/>
      <c r="O157" s="2"/>
      <c r="P157" s="2"/>
      <c r="Q157" s="2"/>
      <c r="R157" s="2"/>
    </row>
    <row r="158" spans="1:18">
      <c r="A158" t="s">
        <v>9</v>
      </c>
      <c r="B158" s="1"/>
      <c r="J158" s="1"/>
      <c r="M158" s="1"/>
      <c r="N158" s="2"/>
      <c r="O158" s="2"/>
      <c r="P158" s="2"/>
      <c r="Q158" s="2"/>
      <c r="R158" s="2"/>
    </row>
    <row r="159" spans="1:18">
      <c r="A159" t="s">
        <v>203</v>
      </c>
      <c r="B159" s="1"/>
      <c r="J159" s="1"/>
      <c r="M159" s="1"/>
      <c r="N159" s="2"/>
      <c r="O159" s="2"/>
      <c r="P159" s="2"/>
      <c r="Q159" s="2"/>
      <c r="R159" s="2"/>
    </row>
    <row r="160" spans="1:18">
      <c r="A160" t="s">
        <v>10</v>
      </c>
      <c r="B160" s="1"/>
      <c r="J160" s="1"/>
      <c r="M160" s="1"/>
      <c r="N160" s="2"/>
      <c r="O160" s="2"/>
      <c r="P160" s="2"/>
      <c r="Q160" s="2"/>
      <c r="R160" s="2"/>
    </row>
    <row r="161" spans="1:18">
      <c r="A161" t="s">
        <v>204</v>
      </c>
      <c r="B161" s="1"/>
      <c r="J161" s="1"/>
      <c r="M161" s="1"/>
      <c r="N161" s="2"/>
      <c r="O161" s="2"/>
      <c r="P161" s="2"/>
      <c r="Q161" s="2"/>
      <c r="R161" s="2"/>
    </row>
    <row r="162" spans="1:18">
      <c r="A162" t="s">
        <v>12</v>
      </c>
      <c r="B162" s="1"/>
      <c r="J162" s="1"/>
      <c r="M162" s="1"/>
      <c r="N162" s="2"/>
      <c r="O162" s="2"/>
      <c r="P162" s="2"/>
      <c r="Q162" s="2"/>
      <c r="R162" s="2"/>
    </row>
    <row r="163" spans="1:18">
      <c r="A163" t="s">
        <v>205</v>
      </c>
      <c r="B163" s="1"/>
      <c r="J163" s="1"/>
      <c r="M163" s="1"/>
      <c r="N163" s="2"/>
      <c r="O163" s="2"/>
      <c r="P163" s="2"/>
      <c r="Q163" s="2"/>
      <c r="R163" s="2"/>
    </row>
    <row r="164" spans="1:18">
      <c r="A164" t="s">
        <v>123</v>
      </c>
      <c r="B164" s="1"/>
      <c r="J164" s="1"/>
      <c r="M164" s="1"/>
      <c r="N164" s="2"/>
      <c r="O164" s="2"/>
      <c r="P164" s="2"/>
      <c r="Q164" s="2"/>
      <c r="R164" s="2"/>
    </row>
    <row r="165" spans="1:18">
      <c r="A165" t="s">
        <v>206</v>
      </c>
      <c r="B165" s="1"/>
      <c r="J165" s="1"/>
      <c r="M165" s="1"/>
      <c r="N165" s="2"/>
      <c r="O165" s="2"/>
      <c r="P165" s="2"/>
      <c r="Q165" s="2"/>
      <c r="R165" s="2"/>
    </row>
    <row r="166" spans="1:18">
      <c r="A166" t="s">
        <v>11</v>
      </c>
      <c r="B166" s="1"/>
      <c r="J166" s="1"/>
      <c r="M166" s="1"/>
      <c r="N166" s="2"/>
      <c r="O166" s="2"/>
      <c r="P166" s="2"/>
      <c r="Q166" s="2"/>
      <c r="R166" s="2"/>
    </row>
    <row r="167" spans="1:18">
      <c r="A167" t="s">
        <v>207</v>
      </c>
      <c r="B167" s="1"/>
      <c r="J167" s="1"/>
      <c r="M167" s="1"/>
      <c r="N167" s="2"/>
      <c r="O167" s="2"/>
      <c r="P167" s="2"/>
      <c r="Q167" s="2"/>
      <c r="R167" s="2"/>
    </row>
    <row r="168" spans="1:18">
      <c r="A168" t="s">
        <v>158</v>
      </c>
      <c r="B168" s="1"/>
      <c r="J168" s="1"/>
      <c r="M168" s="1"/>
      <c r="N168" s="2"/>
      <c r="O168" s="2"/>
      <c r="P168" s="2"/>
      <c r="Q168" s="2"/>
      <c r="R168" s="2"/>
    </row>
    <row r="169" spans="1:18">
      <c r="A169" t="s">
        <v>208</v>
      </c>
      <c r="B169" s="1"/>
      <c r="J169" s="1"/>
      <c r="M169" s="1"/>
      <c r="N169" s="2"/>
      <c r="O169" s="2"/>
      <c r="P169" s="2"/>
      <c r="Q169" s="2"/>
      <c r="R169" s="2"/>
    </row>
    <row r="170" spans="1:18">
      <c r="A170" t="s">
        <v>11</v>
      </c>
      <c r="B170" s="1"/>
      <c r="J170" s="1"/>
      <c r="M170" s="1"/>
      <c r="N170" s="2"/>
      <c r="O170" s="2"/>
      <c r="P170" s="2"/>
      <c r="Q170" s="2"/>
      <c r="R170" s="2"/>
    </row>
    <row r="171" spans="1:18">
      <c r="A171" t="s">
        <v>209</v>
      </c>
      <c r="B171" s="1"/>
      <c r="J171" s="1"/>
      <c r="M171" s="1"/>
      <c r="N171" s="2"/>
      <c r="O171" s="2"/>
      <c r="P171" s="2"/>
      <c r="Q171" s="2"/>
      <c r="R171" s="2"/>
    </row>
    <row r="172" spans="1:18">
      <c r="A172" t="s">
        <v>122</v>
      </c>
      <c r="B172" s="1"/>
      <c r="J172" s="1"/>
      <c r="M172" s="1"/>
      <c r="N172" s="2"/>
      <c r="O172" s="2"/>
      <c r="P172" s="2"/>
      <c r="Q172" s="2"/>
      <c r="R172" s="2"/>
    </row>
    <row r="173" spans="1:18">
      <c r="A173" t="s">
        <v>210</v>
      </c>
      <c r="B173" s="1"/>
      <c r="J173" s="1"/>
      <c r="M173" s="1"/>
      <c r="N173" s="2"/>
      <c r="O173" s="2"/>
      <c r="P173" s="2"/>
      <c r="Q173" s="2"/>
      <c r="R173" s="2"/>
    </row>
    <row r="174" spans="1:18">
      <c r="A174" t="s">
        <v>162</v>
      </c>
      <c r="B174" s="1"/>
      <c r="J174" s="1"/>
      <c r="M174" s="1"/>
      <c r="N174" s="2"/>
      <c r="O174" s="2"/>
      <c r="P174" s="2"/>
      <c r="Q174" s="2"/>
      <c r="R174" s="2"/>
    </row>
    <row r="175" spans="1:18">
      <c r="A175" t="s">
        <v>13</v>
      </c>
      <c r="B175" s="1"/>
      <c r="J175" s="1"/>
      <c r="M175" s="1"/>
      <c r="N175" s="2"/>
      <c r="O175" s="2"/>
      <c r="P175" s="2"/>
      <c r="Q175" s="2"/>
      <c r="R175" s="2"/>
    </row>
    <row r="176" spans="1:18">
      <c r="A176" t="s">
        <v>14</v>
      </c>
      <c r="B176" s="1"/>
      <c r="J176" s="1"/>
      <c r="M176" s="1"/>
      <c r="N176" s="2"/>
      <c r="O176" s="2"/>
      <c r="P176" s="2"/>
      <c r="Q176" s="2"/>
      <c r="R176" s="2"/>
    </row>
    <row r="177" spans="1:18">
      <c r="A177" t="s">
        <v>13</v>
      </c>
      <c r="B177" s="1"/>
      <c r="J177" s="1"/>
      <c r="M177" s="1"/>
      <c r="N177" s="2"/>
      <c r="O177" s="2"/>
      <c r="P177" s="2"/>
      <c r="Q177" s="2"/>
      <c r="R177" s="2"/>
    </row>
    <row r="178" spans="1:18">
      <c r="A178" t="s">
        <v>14</v>
      </c>
      <c r="B178" s="1"/>
      <c r="J178" s="1"/>
      <c r="M178" s="1"/>
      <c r="N178" s="2"/>
      <c r="O178" s="2"/>
      <c r="P178" s="2"/>
      <c r="Q178" s="2"/>
      <c r="R178" s="2"/>
    </row>
    <row r="179" spans="1:18">
      <c r="A179" t="s">
        <v>13</v>
      </c>
      <c r="B179" s="1"/>
      <c r="J179" s="1"/>
      <c r="M179" s="1"/>
      <c r="N179" s="2"/>
      <c r="O179" s="2"/>
      <c r="P179" s="2"/>
      <c r="Q179" s="2"/>
      <c r="R179" s="2"/>
    </row>
    <row r="180" spans="1:18">
      <c r="A180" t="s">
        <v>14</v>
      </c>
      <c r="B180" s="1"/>
      <c r="J180" s="1"/>
      <c r="M180" s="1"/>
      <c r="N180" s="2"/>
      <c r="O180" s="2"/>
      <c r="P180" s="2"/>
      <c r="Q180" s="2"/>
      <c r="R180" s="2"/>
    </row>
    <row r="181" spans="1:18">
      <c r="A181" t="s">
        <v>13</v>
      </c>
      <c r="B181" s="1"/>
      <c r="J181" s="1"/>
      <c r="M181" s="1"/>
      <c r="N181" s="2"/>
      <c r="O181" s="2"/>
      <c r="P181" s="2"/>
      <c r="Q181" s="2"/>
      <c r="R181" s="2"/>
    </row>
    <row r="182" spans="1:18">
      <c r="A182" t="s">
        <v>14</v>
      </c>
      <c r="B182" s="1"/>
      <c r="J182" s="1"/>
      <c r="M182" s="1"/>
      <c r="N182" s="2"/>
      <c r="O182" s="2"/>
      <c r="P182" s="2"/>
      <c r="Q182" s="2"/>
      <c r="R182" s="2"/>
    </row>
    <row r="183" spans="1:18">
      <c r="A183" t="s">
        <v>13</v>
      </c>
      <c r="B183" s="1"/>
      <c r="J183" s="1"/>
      <c r="M183" s="1"/>
      <c r="N183" s="2"/>
      <c r="O183" s="2"/>
      <c r="P183" s="2"/>
      <c r="Q183" s="2"/>
      <c r="R183" s="2"/>
    </row>
    <row r="184" spans="1:18">
      <c r="A184" t="s">
        <v>14</v>
      </c>
      <c r="B184" s="1"/>
      <c r="J184" s="1"/>
      <c r="M184" s="1"/>
      <c r="N184" s="2"/>
      <c r="O184" s="2"/>
      <c r="P184" s="2"/>
      <c r="Q184" s="2"/>
      <c r="R184" s="2"/>
    </row>
    <row r="185" spans="1:18">
      <c r="A185" t="s">
        <v>13</v>
      </c>
      <c r="B185" s="1"/>
      <c r="J185" s="1"/>
      <c r="M185" s="1"/>
      <c r="N185" s="2"/>
      <c r="O185" s="2"/>
      <c r="P185" s="2"/>
      <c r="Q185" s="2"/>
      <c r="R185" s="2"/>
    </row>
    <row r="186" spans="1:18">
      <c r="A186" t="s">
        <v>14</v>
      </c>
      <c r="B186" s="1"/>
      <c r="J186" s="1"/>
      <c r="M186" s="1"/>
      <c r="N186" s="2"/>
      <c r="O186" s="2"/>
      <c r="P186" s="2"/>
      <c r="Q186" s="2"/>
      <c r="R186" s="2"/>
    </row>
    <row r="187" spans="1:18">
      <c r="A187" t="s">
        <v>13</v>
      </c>
      <c r="B187" s="1"/>
      <c r="J187" s="1"/>
      <c r="M187" s="1"/>
      <c r="N187" s="2"/>
      <c r="O187" s="2"/>
      <c r="P187" s="2"/>
      <c r="Q187" s="2"/>
      <c r="R187" s="2"/>
    </row>
    <row r="188" spans="1:18">
      <c r="A188" t="s">
        <v>14</v>
      </c>
      <c r="B188" s="1"/>
      <c r="J188" s="1"/>
      <c r="M188" s="1"/>
      <c r="N188" s="2"/>
      <c r="O188" s="2"/>
      <c r="P188" s="2"/>
      <c r="Q188" s="2"/>
      <c r="R188" s="2"/>
    </row>
    <row r="189" spans="1:18">
      <c r="A189" t="s">
        <v>13</v>
      </c>
      <c r="B189" s="1"/>
      <c r="J189" s="1"/>
      <c r="M189" s="1"/>
      <c r="N189" s="2"/>
      <c r="O189" s="2"/>
      <c r="P189" s="2"/>
      <c r="Q189" s="2"/>
      <c r="R189" s="2"/>
    </row>
    <row r="190" spans="1:18">
      <c r="A190" t="s">
        <v>9</v>
      </c>
      <c r="B190" s="1"/>
      <c r="J190" s="1"/>
      <c r="M190" s="1"/>
      <c r="N190" s="2"/>
      <c r="O190" s="2"/>
      <c r="P190" s="2"/>
      <c r="Q190" s="2"/>
      <c r="R190" s="2"/>
    </row>
    <row r="191" spans="1:18">
      <c r="B191" s="1"/>
      <c r="J191" s="1"/>
      <c r="M191" s="1"/>
      <c r="N191" s="2"/>
      <c r="O191" s="2"/>
      <c r="P191" s="2"/>
      <c r="Q191" s="2"/>
      <c r="R191" s="2"/>
    </row>
    <row r="192" spans="1:18">
      <c r="B192" s="1"/>
      <c r="J192" s="1"/>
      <c r="M192" s="1"/>
      <c r="N192" s="2"/>
      <c r="O192" s="2"/>
      <c r="P192" s="2"/>
      <c r="Q192" s="2"/>
      <c r="R192" s="2"/>
    </row>
    <row r="193" spans="1:18">
      <c r="A193" t="s">
        <v>9</v>
      </c>
      <c r="B193" s="1"/>
      <c r="J193" s="1"/>
      <c r="M193" s="1"/>
      <c r="N193" s="2"/>
      <c r="O193" s="2"/>
      <c r="P193" s="2"/>
      <c r="Q193" s="2"/>
      <c r="R193" s="2"/>
    </row>
    <row r="194" spans="1:18">
      <c r="A194" t="s">
        <v>211</v>
      </c>
      <c r="B194" s="1"/>
      <c r="J194" s="1"/>
      <c r="M194" s="1"/>
      <c r="N194" s="2"/>
      <c r="O194" s="2"/>
      <c r="P194" s="2"/>
      <c r="Q194" s="2"/>
      <c r="R194" s="2"/>
    </row>
    <row r="195" spans="1:18">
      <c r="A195" t="s">
        <v>10</v>
      </c>
      <c r="B195" s="1"/>
      <c r="J195" s="1"/>
      <c r="M195" s="1"/>
      <c r="N195" s="2"/>
      <c r="O195" s="2"/>
      <c r="P195" s="2"/>
      <c r="Q195" s="2"/>
      <c r="R195" s="2"/>
    </row>
    <row r="196" spans="1:18">
      <c r="A196" t="s">
        <v>212</v>
      </c>
      <c r="B196" s="1"/>
      <c r="J196" s="1"/>
      <c r="M196" s="1"/>
      <c r="N196" s="2"/>
      <c r="O196" s="2"/>
      <c r="P196" s="2"/>
      <c r="Q196" s="2"/>
      <c r="R196" s="2"/>
    </row>
    <row r="197" spans="1:18">
      <c r="A197" t="s">
        <v>12</v>
      </c>
      <c r="B197" s="1"/>
      <c r="J197" s="1"/>
      <c r="M197" s="1"/>
      <c r="N197" s="2"/>
      <c r="O197" s="2"/>
      <c r="P197" s="2"/>
      <c r="Q197" s="2"/>
      <c r="R197" s="2"/>
    </row>
    <row r="198" spans="1:18">
      <c r="A198" t="s">
        <v>213</v>
      </c>
      <c r="B198" s="1"/>
      <c r="J198" s="1"/>
      <c r="M198" s="1"/>
      <c r="N198" s="2"/>
      <c r="O198" s="2"/>
      <c r="P198" s="2"/>
      <c r="Q198" s="2"/>
      <c r="R198" s="2"/>
    </row>
    <row r="199" spans="1:18">
      <c r="A199" t="s">
        <v>123</v>
      </c>
      <c r="B199" s="1"/>
      <c r="J199" s="1"/>
      <c r="M199" s="1"/>
      <c r="N199" s="2"/>
      <c r="O199" s="2"/>
      <c r="P199" s="2"/>
      <c r="Q199" s="2"/>
      <c r="R199" s="2"/>
    </row>
    <row r="200" spans="1:18">
      <c r="A200" t="s">
        <v>214</v>
      </c>
      <c r="B200" s="1"/>
      <c r="J200" s="1"/>
      <c r="M200" s="1"/>
      <c r="N200" s="2"/>
      <c r="O200" s="2"/>
      <c r="P200" s="2"/>
      <c r="Q200" s="2"/>
      <c r="R200" s="2"/>
    </row>
    <row r="201" spans="1:18">
      <c r="A201" t="s">
        <v>11</v>
      </c>
      <c r="B201" s="1"/>
      <c r="J201" s="1"/>
      <c r="M201" s="1"/>
      <c r="N201" s="2"/>
      <c r="O201" s="2"/>
      <c r="P201" s="2"/>
      <c r="Q201" s="2"/>
      <c r="R201" s="2"/>
    </row>
    <row r="202" spans="1:18">
      <c r="A202" t="s">
        <v>215</v>
      </c>
      <c r="B202" s="1"/>
      <c r="J202" s="1"/>
      <c r="M202" s="1"/>
      <c r="N202" s="2"/>
      <c r="O202" s="2"/>
      <c r="P202" s="2"/>
      <c r="Q202" s="2"/>
      <c r="R202" s="2"/>
    </row>
    <row r="203" spans="1:18">
      <c r="A203" t="s">
        <v>158</v>
      </c>
      <c r="B203" s="1"/>
      <c r="J203" s="1"/>
      <c r="M203" s="1"/>
      <c r="N203" s="2"/>
      <c r="O203" s="2"/>
      <c r="P203" s="2"/>
      <c r="Q203" s="2"/>
      <c r="R203" s="2"/>
    </row>
    <row r="204" spans="1:18">
      <c r="A204" t="s">
        <v>216</v>
      </c>
      <c r="B204" s="1"/>
      <c r="J204" s="1"/>
      <c r="M204" s="1"/>
      <c r="N204" s="2"/>
      <c r="O204" s="2"/>
      <c r="P204" s="2"/>
      <c r="Q204" s="2"/>
      <c r="R204" s="2"/>
    </row>
    <row r="205" spans="1:18">
      <c r="A205" t="s">
        <v>11</v>
      </c>
      <c r="B205" s="1"/>
      <c r="J205" s="1"/>
      <c r="M205" s="1"/>
      <c r="N205" s="2"/>
      <c r="O205" s="2"/>
      <c r="P205" s="2"/>
      <c r="Q205" s="2"/>
      <c r="R205" s="2"/>
    </row>
    <row r="206" spans="1:18">
      <c r="A206" t="s">
        <v>217</v>
      </c>
      <c r="B206" s="1"/>
      <c r="J206" s="1"/>
      <c r="M206" s="1"/>
      <c r="N206" s="2"/>
      <c r="O206" s="2"/>
      <c r="P206" s="2"/>
      <c r="Q206" s="2"/>
      <c r="R206" s="2"/>
    </row>
    <row r="207" spans="1:18">
      <c r="A207" t="s">
        <v>122</v>
      </c>
      <c r="B207" s="1"/>
      <c r="J207" s="1"/>
      <c r="M207" s="1"/>
      <c r="N207" s="2"/>
      <c r="O207" s="2"/>
      <c r="P207" s="2"/>
      <c r="Q207" s="2"/>
      <c r="R207" s="2"/>
    </row>
    <row r="208" spans="1:18">
      <c r="A208" t="s">
        <v>218</v>
      </c>
      <c r="B208" s="1"/>
      <c r="J208" s="1"/>
      <c r="M208" s="1"/>
      <c r="N208" s="2"/>
      <c r="O208" s="2"/>
      <c r="P208" s="2"/>
      <c r="Q208" s="2"/>
      <c r="R208" s="2"/>
    </row>
    <row r="209" spans="1:18">
      <c r="A209" t="s">
        <v>162</v>
      </c>
      <c r="B209" s="1"/>
      <c r="J209" s="1"/>
      <c r="M209" s="1"/>
      <c r="N209" s="2"/>
      <c r="O209" s="2"/>
      <c r="P209" s="2"/>
      <c r="Q209" s="2"/>
      <c r="R209" s="2"/>
    </row>
    <row r="210" spans="1:18">
      <c r="A210" t="s">
        <v>219</v>
      </c>
      <c r="B210" s="1"/>
      <c r="J210" s="1"/>
      <c r="M210" s="1"/>
      <c r="N210" s="2"/>
      <c r="O210" s="2"/>
      <c r="P210" s="2"/>
      <c r="Q210" s="2"/>
      <c r="R210" s="2"/>
    </row>
    <row r="211" spans="1:18">
      <c r="A211" t="s">
        <v>14</v>
      </c>
      <c r="B211" s="1"/>
      <c r="J211" s="1"/>
      <c r="M211" s="1"/>
      <c r="N211" s="2"/>
      <c r="O211" s="2"/>
      <c r="P211" s="2"/>
      <c r="Q211" s="2"/>
      <c r="R211" s="2"/>
    </row>
    <row r="212" spans="1:18">
      <c r="A212" t="s">
        <v>220</v>
      </c>
      <c r="B212" s="1"/>
      <c r="J212" s="1"/>
      <c r="M212" s="1"/>
      <c r="N212" s="2"/>
      <c r="O212" s="2"/>
      <c r="P212" s="2"/>
      <c r="Q212" s="2"/>
      <c r="R212" s="2"/>
    </row>
    <row r="213" spans="1:18">
      <c r="A213" t="s">
        <v>14</v>
      </c>
      <c r="B213" s="1"/>
      <c r="J213" s="1"/>
      <c r="M213" s="1"/>
      <c r="N213" s="2"/>
      <c r="O213" s="2"/>
      <c r="P213" s="2"/>
      <c r="Q213" s="2"/>
      <c r="R213" s="2"/>
    </row>
    <row r="214" spans="1:18">
      <c r="A214" t="s">
        <v>221</v>
      </c>
      <c r="B214" s="1"/>
      <c r="J214" s="1"/>
      <c r="M214" s="1"/>
      <c r="N214" s="2"/>
      <c r="O214" s="2"/>
      <c r="P214" s="2"/>
      <c r="Q214" s="2"/>
      <c r="R214" s="2"/>
    </row>
    <row r="215" spans="1:18">
      <c r="A215" t="s">
        <v>14</v>
      </c>
      <c r="B215" s="1"/>
      <c r="J215" s="1"/>
      <c r="M215" s="1"/>
      <c r="N215" s="2"/>
      <c r="O215" s="2"/>
      <c r="P215" s="2"/>
      <c r="Q215" s="2"/>
      <c r="R215" s="2"/>
    </row>
    <row r="216" spans="1:18">
      <c r="A216" t="s">
        <v>222</v>
      </c>
      <c r="B216" s="1"/>
      <c r="J216" s="1"/>
      <c r="M216" s="1"/>
      <c r="N216" s="2"/>
      <c r="O216" s="2"/>
      <c r="P216" s="2"/>
      <c r="Q216" s="2"/>
      <c r="R216" s="2"/>
    </row>
    <row r="217" spans="1:18">
      <c r="A217" t="s">
        <v>14</v>
      </c>
      <c r="B217" s="1"/>
      <c r="J217" s="1"/>
      <c r="M217" s="1"/>
      <c r="N217" s="2"/>
      <c r="O217" s="2"/>
      <c r="P217" s="2"/>
      <c r="Q217" s="2"/>
      <c r="R217" s="2"/>
    </row>
    <row r="218" spans="1:18">
      <c r="A218" t="s">
        <v>223</v>
      </c>
      <c r="B218" s="1"/>
      <c r="J218" s="1"/>
      <c r="M218" s="1"/>
      <c r="N218" s="2"/>
      <c r="O218" s="2"/>
      <c r="P218" s="2"/>
      <c r="Q218" s="2"/>
      <c r="R218" s="2"/>
    </row>
    <row r="219" spans="1:18">
      <c r="A219" t="s">
        <v>14</v>
      </c>
      <c r="B219" s="1"/>
      <c r="J219" s="1"/>
      <c r="M219" s="1"/>
      <c r="N219" s="2"/>
      <c r="O219" s="2"/>
      <c r="P219" s="2"/>
      <c r="Q219" s="2"/>
      <c r="R219" s="2"/>
    </row>
    <row r="220" spans="1:18">
      <c r="A220" t="s">
        <v>224</v>
      </c>
      <c r="B220" s="1"/>
      <c r="J220" s="1"/>
      <c r="M220" s="1"/>
      <c r="N220" s="2"/>
      <c r="O220" s="2"/>
      <c r="P220" s="2"/>
      <c r="Q220" s="2"/>
      <c r="R220" s="2"/>
    </row>
    <row r="221" spans="1:18">
      <c r="A221" t="s">
        <v>14</v>
      </c>
      <c r="B221" s="1"/>
      <c r="J221" s="1"/>
      <c r="M221" s="1"/>
      <c r="N221" s="2"/>
      <c r="O221" s="2"/>
      <c r="P221" s="2"/>
      <c r="Q221" s="2"/>
      <c r="R221" s="2"/>
    </row>
    <row r="222" spans="1:18">
      <c r="A222" t="s">
        <v>225</v>
      </c>
      <c r="B222" s="1"/>
      <c r="J222" s="1"/>
      <c r="M222" s="1"/>
      <c r="N222" s="2"/>
      <c r="O222" s="2"/>
      <c r="P222" s="2"/>
      <c r="Q222" s="2"/>
      <c r="R222" s="2"/>
    </row>
    <row r="223" spans="1:18">
      <c r="A223" t="s">
        <v>14</v>
      </c>
      <c r="B223" s="1"/>
      <c r="J223" s="1"/>
      <c r="M223" s="1"/>
      <c r="N223" s="2"/>
      <c r="O223" s="2"/>
      <c r="P223" s="2"/>
      <c r="Q223" s="2"/>
      <c r="R223" s="2"/>
    </row>
    <row r="224" spans="1:18">
      <c r="A224" t="s">
        <v>226</v>
      </c>
      <c r="B224" s="1"/>
      <c r="J224" s="1"/>
      <c r="M224" s="1"/>
      <c r="N224" s="2"/>
      <c r="O224" s="2"/>
      <c r="P224" s="2"/>
      <c r="Q224" s="2"/>
      <c r="R224" s="2"/>
    </row>
    <row r="225" spans="1:19">
      <c r="A225" t="s">
        <v>9</v>
      </c>
      <c r="B225" s="1"/>
      <c r="J225" s="1"/>
      <c r="M225" s="1"/>
      <c r="N225" s="2"/>
      <c r="O225" s="2"/>
      <c r="P225" s="2"/>
      <c r="Q225" s="2"/>
      <c r="R225" s="2"/>
    </row>
    <row r="226" spans="1:19">
      <c r="B226" s="1"/>
      <c r="J226" s="1"/>
      <c r="M226" s="1"/>
      <c r="N226" s="2"/>
      <c r="O226" s="2"/>
      <c r="P226" s="2"/>
      <c r="Q226" s="2"/>
      <c r="R226" s="2"/>
    </row>
    <row r="227" spans="1:19">
      <c r="A227" t="s">
        <v>15</v>
      </c>
      <c r="B227" s="1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21</v>
      </c>
      <c r="H227" t="s">
        <v>22</v>
      </c>
      <c r="I227" t="s">
        <v>23</v>
      </c>
      <c r="J227" s="1" t="s">
        <v>24</v>
      </c>
      <c r="K227" t="s">
        <v>25</v>
      </c>
      <c r="L227" t="s">
        <v>26</v>
      </c>
      <c r="M227" s="1" t="s">
        <v>27</v>
      </c>
      <c r="N227" s="2" t="s">
        <v>28</v>
      </c>
      <c r="O227" s="2" t="s">
        <v>29</v>
      </c>
      <c r="P227" s="2"/>
      <c r="Q227" s="2"/>
      <c r="R227" s="2"/>
    </row>
    <row r="228" spans="1:19">
      <c r="B228" s="1"/>
      <c r="J228" s="1"/>
      <c r="M228" s="1"/>
      <c r="N228" s="2"/>
      <c r="O228" s="2"/>
      <c r="P228" s="2"/>
      <c r="Q228" s="2"/>
      <c r="R228" s="2"/>
    </row>
    <row r="229" spans="1:19">
      <c r="A229" t="s">
        <v>227</v>
      </c>
      <c r="B229" s="1">
        <v>-416.66666666666669</v>
      </c>
      <c r="C229">
        <v>52</v>
      </c>
      <c r="D229">
        <v>628</v>
      </c>
      <c r="E229">
        <v>864</v>
      </c>
      <c r="F229">
        <v>0</v>
      </c>
      <c r="G229">
        <v>192</v>
      </c>
      <c r="H229">
        <v>128</v>
      </c>
      <c r="I229">
        <v>316</v>
      </c>
      <c r="J229" s="1">
        <v>-416.66666666666669</v>
      </c>
      <c r="K229">
        <v>0</v>
      </c>
      <c r="L229">
        <v>64</v>
      </c>
      <c r="M229" s="1">
        <v>-416.66666666666669</v>
      </c>
      <c r="N229" s="2">
        <v>128</v>
      </c>
      <c r="O229" s="2">
        <v>-64</v>
      </c>
      <c r="P229" s="2">
        <v>-256</v>
      </c>
      <c r="Q229" s="2">
        <v>-416.66666666666669</v>
      </c>
      <c r="R229" s="2">
        <v>0</v>
      </c>
      <c r="S229">
        <v>0</v>
      </c>
    </row>
    <row r="230" spans="1:19">
      <c r="A230" t="s">
        <v>228</v>
      </c>
      <c r="B230" s="1">
        <v>-416.66666666666669</v>
      </c>
      <c r="C230">
        <v>64</v>
      </c>
      <c r="D230">
        <v>240</v>
      </c>
      <c r="E230">
        <v>304</v>
      </c>
      <c r="F230">
        <v>260</v>
      </c>
      <c r="G230">
        <v>768</v>
      </c>
      <c r="H230">
        <v>640</v>
      </c>
      <c r="I230">
        <v>40</v>
      </c>
      <c r="J230" s="1">
        <v>-416.66666666666669</v>
      </c>
      <c r="K230">
        <v>0</v>
      </c>
      <c r="L230">
        <v>0</v>
      </c>
      <c r="M230" s="1">
        <v>-416.66666666666669</v>
      </c>
      <c r="N230" s="2">
        <v>0</v>
      </c>
      <c r="O230" s="2">
        <v>8</v>
      </c>
      <c r="P230" s="2">
        <v>16</v>
      </c>
      <c r="Q230" s="2">
        <v>-416.66666666666669</v>
      </c>
      <c r="R230" s="2">
        <v>0</v>
      </c>
      <c r="S230">
        <v>4</v>
      </c>
    </row>
    <row r="231" spans="1:19">
      <c r="A231" t="s">
        <v>229</v>
      </c>
      <c r="B231" s="1">
        <v>-416.66666666666669</v>
      </c>
      <c r="C231">
        <v>540</v>
      </c>
      <c r="D231">
        <v>112</v>
      </c>
      <c r="E231">
        <v>512</v>
      </c>
      <c r="F231">
        <v>160</v>
      </c>
      <c r="G231">
        <v>128</v>
      </c>
      <c r="H231">
        <v>144</v>
      </c>
      <c r="I231">
        <v>172</v>
      </c>
      <c r="J231" s="1">
        <v>-416.66666666666669</v>
      </c>
      <c r="K231">
        <v>4</v>
      </c>
      <c r="L231">
        <v>-64</v>
      </c>
      <c r="M231" s="1">
        <v>-416.66666666666669</v>
      </c>
      <c r="N231" s="2">
        <v>-232</v>
      </c>
      <c r="O231" s="2">
        <v>-44</v>
      </c>
      <c r="P231" s="2">
        <v>144</v>
      </c>
      <c r="Q231" s="2">
        <v>-416.66666666666669</v>
      </c>
      <c r="R231" s="2">
        <v>64</v>
      </c>
      <c r="S231">
        <v>0</v>
      </c>
    </row>
    <row r="232" spans="1:19">
      <c r="A232" t="s">
        <v>230</v>
      </c>
      <c r="B232" s="1">
        <v>-416.66666666666669</v>
      </c>
      <c r="C232">
        <v>40</v>
      </c>
      <c r="D232">
        <v>80</v>
      </c>
      <c r="E232">
        <v>816</v>
      </c>
      <c r="F232">
        <v>272</v>
      </c>
      <c r="G232">
        <v>256</v>
      </c>
      <c r="H232">
        <v>96</v>
      </c>
      <c r="I232">
        <v>60</v>
      </c>
      <c r="J232" s="1">
        <v>-416.66666666666669</v>
      </c>
      <c r="K232">
        <v>10</v>
      </c>
      <c r="L232">
        <v>2</v>
      </c>
      <c r="M232" s="1">
        <v>-416.66666666666669</v>
      </c>
      <c r="N232" s="2">
        <v>64</v>
      </c>
      <c r="O232" s="2">
        <v>34</v>
      </c>
      <c r="P232" s="2">
        <v>4</v>
      </c>
      <c r="Q232" s="2">
        <v>-416.66666666666669</v>
      </c>
      <c r="R232" s="2">
        <v>-256</v>
      </c>
      <c r="S232">
        <v>64</v>
      </c>
    </row>
    <row r="233" spans="1:19">
      <c r="A233" t="s">
        <v>231</v>
      </c>
      <c r="B233" s="1">
        <v>-416.66666666666669</v>
      </c>
      <c r="C233">
        <v>316</v>
      </c>
      <c r="D233">
        <v>632</v>
      </c>
      <c r="E233">
        <v>8</v>
      </c>
      <c r="F233">
        <v>384</v>
      </c>
      <c r="G233">
        <v>288</v>
      </c>
      <c r="H233">
        <v>144</v>
      </c>
      <c r="I233">
        <v>40</v>
      </c>
      <c r="J233" s="1">
        <v>-416.66666666666669</v>
      </c>
      <c r="K233">
        <v>0</v>
      </c>
      <c r="L233">
        <v>68</v>
      </c>
      <c r="M233" s="1">
        <v>-416.66666666666669</v>
      </c>
      <c r="N233" s="2">
        <v>72</v>
      </c>
      <c r="O233" s="2">
        <v>46</v>
      </c>
      <c r="P233" s="2">
        <v>20</v>
      </c>
      <c r="Q233" s="2">
        <v>-416.66666666666669</v>
      </c>
      <c r="R233" s="2">
        <v>-128</v>
      </c>
      <c r="S233">
        <v>66</v>
      </c>
    </row>
    <row r="234" spans="1:19">
      <c r="A234" t="s">
        <v>232</v>
      </c>
      <c r="B234" s="1">
        <v>-416.66666666666669</v>
      </c>
      <c r="C234">
        <v>712</v>
      </c>
      <c r="D234">
        <v>356</v>
      </c>
      <c r="E234">
        <v>64</v>
      </c>
      <c r="F234">
        <v>256</v>
      </c>
      <c r="G234">
        <v>272</v>
      </c>
      <c r="H234">
        <v>400</v>
      </c>
      <c r="I234">
        <v>316</v>
      </c>
      <c r="J234" s="1">
        <v>-416.66666666666669</v>
      </c>
      <c r="K234">
        <v>42</v>
      </c>
      <c r="L234">
        <v>-118</v>
      </c>
      <c r="M234" s="1">
        <v>-416.66666666666669</v>
      </c>
      <c r="N234" s="2">
        <v>4</v>
      </c>
      <c r="O234" s="2">
        <v>2</v>
      </c>
      <c r="P234" s="2">
        <v>0</v>
      </c>
      <c r="Q234" s="2">
        <v>-416.66666666666669</v>
      </c>
      <c r="R234" s="2">
        <v>16</v>
      </c>
      <c r="S234">
        <v>64</v>
      </c>
    </row>
    <row r="235" spans="1:19">
      <c r="A235" t="s">
        <v>233</v>
      </c>
      <c r="B235" s="1">
        <v>-416.66666666666669</v>
      </c>
      <c r="C235">
        <v>60</v>
      </c>
      <c r="D235">
        <v>376</v>
      </c>
      <c r="E235">
        <v>128</v>
      </c>
      <c r="F235">
        <v>260</v>
      </c>
      <c r="G235">
        <v>512</v>
      </c>
      <c r="H235">
        <v>916</v>
      </c>
      <c r="I235">
        <v>264</v>
      </c>
      <c r="J235" s="1">
        <v>-416.66666666666669</v>
      </c>
      <c r="K235">
        <v>10</v>
      </c>
      <c r="L235">
        <v>74</v>
      </c>
      <c r="M235" s="1">
        <v>-416.66666666666669</v>
      </c>
      <c r="N235" s="2">
        <v>8</v>
      </c>
      <c r="O235" s="2">
        <v>9</v>
      </c>
      <c r="P235" s="2">
        <v>10</v>
      </c>
      <c r="Q235" s="2">
        <v>-416.66666666666669</v>
      </c>
      <c r="R235" s="2">
        <v>-256</v>
      </c>
      <c r="S235">
        <v>0</v>
      </c>
    </row>
    <row r="236" spans="1:19">
      <c r="A236" t="s">
        <v>234</v>
      </c>
      <c r="B236" s="1">
        <v>-416.66666666666669</v>
      </c>
      <c r="C236">
        <v>312</v>
      </c>
      <c r="D236">
        <v>124</v>
      </c>
      <c r="E236">
        <v>772</v>
      </c>
      <c r="F236">
        <v>512</v>
      </c>
      <c r="G236">
        <v>288</v>
      </c>
      <c r="H236">
        <v>0</v>
      </c>
      <c r="I236">
        <v>40</v>
      </c>
      <c r="J236" s="1">
        <v>-416.66666666666669</v>
      </c>
      <c r="K236">
        <v>10</v>
      </c>
      <c r="L236">
        <v>8</v>
      </c>
      <c r="M236" s="1">
        <v>-416.66666666666669</v>
      </c>
      <c r="N236" s="2">
        <v>0</v>
      </c>
      <c r="O236" s="2">
        <v>2</v>
      </c>
      <c r="P236" s="2">
        <v>4</v>
      </c>
      <c r="Q236" s="2">
        <v>-416.66666666666669</v>
      </c>
      <c r="R236" s="2">
        <v>0</v>
      </c>
      <c r="S236">
        <v>64</v>
      </c>
    </row>
    <row r="237" spans="1:19">
      <c r="A237" t="s">
        <v>30</v>
      </c>
      <c r="B237" s="1">
        <v>-416.66666666666669</v>
      </c>
      <c r="C237">
        <v>60</v>
      </c>
      <c r="D237">
        <v>120</v>
      </c>
      <c r="E237">
        <v>0</v>
      </c>
      <c r="F237">
        <v>0</v>
      </c>
      <c r="G237">
        <v>0</v>
      </c>
      <c r="H237">
        <v>140</v>
      </c>
      <c r="I237">
        <v>44</v>
      </c>
      <c r="J237" s="1">
        <v>-416.66666666666669</v>
      </c>
      <c r="K237">
        <v>10</v>
      </c>
      <c r="L237">
        <v>10</v>
      </c>
      <c r="M237" s="1">
        <v>-416.66666666666669</v>
      </c>
      <c r="N237" s="2">
        <v>0</v>
      </c>
      <c r="O237" s="2">
        <v>0</v>
      </c>
      <c r="P237" s="2">
        <v>0</v>
      </c>
      <c r="Q237" s="2">
        <v>-416.66666666666669</v>
      </c>
      <c r="R237" s="2">
        <v>0</v>
      </c>
      <c r="S237">
        <v>0</v>
      </c>
    </row>
    <row r="238" spans="1:19">
      <c r="A238" t="s">
        <v>30</v>
      </c>
      <c r="B238" s="1">
        <v>-416.66666666666669</v>
      </c>
      <c r="C238">
        <v>60</v>
      </c>
      <c r="D238">
        <v>120</v>
      </c>
      <c r="E238">
        <v>4</v>
      </c>
      <c r="F238">
        <v>0</v>
      </c>
      <c r="G238">
        <v>0</v>
      </c>
      <c r="H238">
        <v>140</v>
      </c>
      <c r="I238">
        <v>44</v>
      </c>
      <c r="J238" s="1">
        <v>-416.66666666666669</v>
      </c>
      <c r="K238">
        <v>10</v>
      </c>
      <c r="L238">
        <v>10</v>
      </c>
      <c r="M238" s="1">
        <v>-416.66666666666669</v>
      </c>
      <c r="N238" s="2">
        <v>0</v>
      </c>
      <c r="O238" s="2">
        <v>0</v>
      </c>
      <c r="P238" s="2">
        <v>0</v>
      </c>
      <c r="Q238" s="2">
        <v>-416.66666666666669</v>
      </c>
      <c r="R238" s="2">
        <v>0</v>
      </c>
      <c r="S238">
        <v>0</v>
      </c>
    </row>
    <row r="239" spans="1:19">
      <c r="A239" t="s">
        <v>30</v>
      </c>
      <c r="B239" s="1">
        <v>-416.66666666666669</v>
      </c>
      <c r="C239">
        <v>60</v>
      </c>
      <c r="D239">
        <v>120</v>
      </c>
      <c r="E239">
        <v>4</v>
      </c>
      <c r="F239">
        <v>0</v>
      </c>
      <c r="G239">
        <v>0</v>
      </c>
      <c r="H239">
        <v>140</v>
      </c>
      <c r="I239">
        <v>48</v>
      </c>
      <c r="J239" s="1">
        <v>-416.66666666666669</v>
      </c>
      <c r="K239">
        <v>10</v>
      </c>
      <c r="L239">
        <v>10</v>
      </c>
      <c r="M239" s="1">
        <v>-416.66666666666669</v>
      </c>
      <c r="N239" s="2">
        <v>4</v>
      </c>
      <c r="O239" s="2">
        <v>4</v>
      </c>
      <c r="P239" s="2">
        <v>4</v>
      </c>
      <c r="Q239" s="2">
        <v>-416.66666666666669</v>
      </c>
      <c r="R239" s="2">
        <v>0</v>
      </c>
      <c r="S239">
        <v>0</v>
      </c>
    </row>
    <row r="240" spans="1:19">
      <c r="A240" t="s">
        <v>30</v>
      </c>
      <c r="B240" s="1">
        <v>-416.66666666666669</v>
      </c>
      <c r="C240">
        <v>64</v>
      </c>
      <c r="D240">
        <v>120</v>
      </c>
      <c r="E240">
        <v>0</v>
      </c>
      <c r="F240">
        <v>0</v>
      </c>
      <c r="G240">
        <v>0</v>
      </c>
      <c r="H240">
        <v>140</v>
      </c>
      <c r="I240">
        <v>48</v>
      </c>
      <c r="J240" s="1">
        <v>-416.66666666666669</v>
      </c>
      <c r="K240">
        <v>10</v>
      </c>
      <c r="L240">
        <v>10</v>
      </c>
      <c r="M240" s="1">
        <v>-416.66666666666669</v>
      </c>
      <c r="N240" s="2">
        <v>6</v>
      </c>
      <c r="O240" s="2">
        <v>6</v>
      </c>
      <c r="P240" s="2">
        <v>6</v>
      </c>
      <c r="Q240" s="2">
        <v>-416.66666666666669</v>
      </c>
      <c r="R240" s="2">
        <v>0</v>
      </c>
      <c r="S240">
        <v>0</v>
      </c>
    </row>
    <row r="241" spans="1:19">
      <c r="A241" t="s">
        <v>30</v>
      </c>
      <c r="B241" s="1">
        <v>-416.66666666666669</v>
      </c>
      <c r="C241">
        <v>64</v>
      </c>
      <c r="D241">
        <v>116</v>
      </c>
      <c r="E241">
        <v>0</v>
      </c>
      <c r="F241">
        <v>0</v>
      </c>
      <c r="G241">
        <v>0</v>
      </c>
      <c r="H241">
        <v>144</v>
      </c>
      <c r="I241">
        <v>48</v>
      </c>
      <c r="J241" s="1">
        <v>-416.66666666666669</v>
      </c>
      <c r="K241">
        <v>10</v>
      </c>
      <c r="L241">
        <v>10</v>
      </c>
      <c r="M241" s="1">
        <v>-416.66666666666669</v>
      </c>
      <c r="N241" s="2">
        <v>8</v>
      </c>
      <c r="O241" s="2">
        <v>7</v>
      </c>
      <c r="P241" s="2">
        <v>6</v>
      </c>
      <c r="Q241" s="2">
        <v>-416.66666666666669</v>
      </c>
      <c r="R241" s="2">
        <v>0</v>
      </c>
      <c r="S241">
        <v>0</v>
      </c>
    </row>
    <row r="242" spans="1:19">
      <c r="A242" t="s">
        <v>30</v>
      </c>
      <c r="B242" s="1">
        <v>-416.66666666666669</v>
      </c>
      <c r="C242">
        <v>60</v>
      </c>
      <c r="D242">
        <v>116</v>
      </c>
      <c r="E242">
        <v>0</v>
      </c>
      <c r="F242">
        <v>0</v>
      </c>
      <c r="G242">
        <v>0</v>
      </c>
      <c r="H242">
        <v>144</v>
      </c>
      <c r="I242">
        <v>52</v>
      </c>
      <c r="J242" s="1">
        <v>-416.66666666666669</v>
      </c>
      <c r="K242">
        <v>10</v>
      </c>
      <c r="L242">
        <v>10</v>
      </c>
      <c r="M242" s="1">
        <v>-416.66666666666669</v>
      </c>
      <c r="N242" s="2">
        <v>8</v>
      </c>
      <c r="O242" s="2">
        <v>8</v>
      </c>
      <c r="P242" s="2">
        <v>8</v>
      </c>
      <c r="Q242" s="2">
        <v>-416.66666666666669</v>
      </c>
      <c r="R242" s="2">
        <v>0</v>
      </c>
      <c r="S242">
        <v>0</v>
      </c>
    </row>
    <row r="243" spans="1:19">
      <c r="A243" t="s">
        <v>30</v>
      </c>
      <c r="B243" s="1">
        <v>-416.66666666666669</v>
      </c>
      <c r="C243">
        <v>60</v>
      </c>
      <c r="D243">
        <v>116</v>
      </c>
      <c r="E243">
        <v>0</v>
      </c>
      <c r="F243">
        <v>0</v>
      </c>
      <c r="G243">
        <v>0</v>
      </c>
      <c r="H243">
        <v>144</v>
      </c>
      <c r="I243">
        <v>44</v>
      </c>
      <c r="J243" s="1">
        <v>-416.66666666666669</v>
      </c>
      <c r="K243">
        <v>10</v>
      </c>
      <c r="L243">
        <v>12</v>
      </c>
      <c r="M243" s="1">
        <v>-416.66666666666669</v>
      </c>
      <c r="N243" s="2">
        <v>8</v>
      </c>
      <c r="O243" s="2">
        <v>8</v>
      </c>
      <c r="P243" s="2">
        <v>8</v>
      </c>
      <c r="Q243" s="2">
        <v>-416.66666666666669</v>
      </c>
      <c r="R243" s="2">
        <v>0</v>
      </c>
      <c r="S243">
        <v>0</v>
      </c>
    </row>
    <row r="244" spans="1:19">
      <c r="A244" t="s">
        <v>30</v>
      </c>
      <c r="B244" s="1">
        <v>-416.66666666666669</v>
      </c>
      <c r="C244">
        <v>64</v>
      </c>
      <c r="D244">
        <v>116</v>
      </c>
      <c r="E244">
        <v>0</v>
      </c>
      <c r="F244">
        <v>0</v>
      </c>
      <c r="G244">
        <v>0</v>
      </c>
      <c r="H244">
        <v>144</v>
      </c>
      <c r="I244">
        <v>48</v>
      </c>
      <c r="J244" s="1">
        <v>-416.66666666666669</v>
      </c>
      <c r="K244">
        <v>10</v>
      </c>
      <c r="L244">
        <v>12</v>
      </c>
      <c r="M244" s="1">
        <v>-416.66666666666669</v>
      </c>
      <c r="N244" s="2">
        <v>10</v>
      </c>
      <c r="O244" s="2">
        <v>11</v>
      </c>
      <c r="P244" s="2">
        <v>12</v>
      </c>
      <c r="Q244" s="2">
        <v>-416.66666666666669</v>
      </c>
      <c r="R244" s="2">
        <v>0</v>
      </c>
      <c r="S244">
        <v>0</v>
      </c>
    </row>
    <row r="245" spans="1:19">
      <c r="A245" t="s">
        <v>30</v>
      </c>
      <c r="B245" s="1">
        <v>-416.66666666666669</v>
      </c>
      <c r="C245">
        <v>64</v>
      </c>
      <c r="D245">
        <v>120</v>
      </c>
      <c r="E245">
        <v>0</v>
      </c>
      <c r="F245">
        <v>0</v>
      </c>
      <c r="G245">
        <v>0</v>
      </c>
      <c r="H245">
        <v>144</v>
      </c>
      <c r="I245">
        <v>44</v>
      </c>
      <c r="J245" s="1">
        <v>-416.66666666666669</v>
      </c>
      <c r="K245">
        <v>10</v>
      </c>
      <c r="L245">
        <v>10</v>
      </c>
      <c r="M245" s="1">
        <v>-416.66666666666669</v>
      </c>
      <c r="N245" s="2">
        <v>10</v>
      </c>
      <c r="O245" s="2">
        <v>11</v>
      </c>
      <c r="P245" s="2">
        <v>12</v>
      </c>
      <c r="Q245" s="2">
        <v>-416.66666666666669</v>
      </c>
      <c r="R245" s="2">
        <v>0</v>
      </c>
      <c r="S245">
        <v>0</v>
      </c>
    </row>
    <row r="246" spans="1:19">
      <c r="A246" t="s">
        <v>30</v>
      </c>
      <c r="B246" s="1">
        <v>-416.66666666666669</v>
      </c>
      <c r="C246">
        <v>64</v>
      </c>
      <c r="D246">
        <v>120</v>
      </c>
      <c r="E246">
        <v>4</v>
      </c>
      <c r="F246">
        <v>0</v>
      </c>
      <c r="G246">
        <v>0</v>
      </c>
      <c r="H246">
        <v>140</v>
      </c>
      <c r="I246">
        <v>40</v>
      </c>
      <c r="J246" s="1">
        <v>-416.66666666666669</v>
      </c>
      <c r="K246">
        <v>10</v>
      </c>
      <c r="L246">
        <v>10</v>
      </c>
      <c r="M246" s="1">
        <v>-416.66666666666669</v>
      </c>
      <c r="N246" s="2">
        <v>12</v>
      </c>
      <c r="O246" s="2">
        <v>12</v>
      </c>
      <c r="P246" s="2">
        <v>12</v>
      </c>
      <c r="Q246" s="2">
        <v>-416.66666666666669</v>
      </c>
      <c r="R246" s="2">
        <v>0</v>
      </c>
      <c r="S246">
        <v>0</v>
      </c>
    </row>
    <row r="247" spans="1:19">
      <c r="A247" t="s">
        <v>30</v>
      </c>
      <c r="B247" s="1">
        <v>-416.66666666666669</v>
      </c>
      <c r="C247">
        <v>64</v>
      </c>
      <c r="D247">
        <v>120</v>
      </c>
      <c r="E247">
        <v>4</v>
      </c>
      <c r="F247">
        <v>0</v>
      </c>
      <c r="G247">
        <v>0</v>
      </c>
      <c r="H247">
        <v>140</v>
      </c>
      <c r="I247">
        <v>44</v>
      </c>
      <c r="J247" s="1">
        <v>-416.66666666666669</v>
      </c>
      <c r="K247">
        <v>10</v>
      </c>
      <c r="L247">
        <v>12</v>
      </c>
      <c r="M247" s="1">
        <v>-416.66666666666669</v>
      </c>
      <c r="N247" s="2">
        <v>12</v>
      </c>
      <c r="O247" s="2">
        <v>13</v>
      </c>
      <c r="P247" s="2">
        <v>14</v>
      </c>
      <c r="Q247" s="2">
        <v>-416.66666666666669</v>
      </c>
      <c r="R247" s="2">
        <v>0</v>
      </c>
      <c r="S247">
        <v>0</v>
      </c>
    </row>
    <row r="248" spans="1:19">
      <c r="A248" t="s">
        <v>30</v>
      </c>
      <c r="B248" s="1">
        <v>-416.66666666666669</v>
      </c>
      <c r="C248">
        <v>60</v>
      </c>
      <c r="D248">
        <v>120</v>
      </c>
      <c r="E248">
        <v>0</v>
      </c>
      <c r="F248">
        <v>0</v>
      </c>
      <c r="G248">
        <v>0</v>
      </c>
      <c r="H248">
        <v>140</v>
      </c>
      <c r="I248">
        <v>40</v>
      </c>
      <c r="J248" s="1">
        <v>-416.66666666666669</v>
      </c>
      <c r="K248">
        <v>10</v>
      </c>
      <c r="L248">
        <v>12</v>
      </c>
      <c r="M248" s="1">
        <v>-416.66666666666669</v>
      </c>
      <c r="N248" s="2">
        <v>14</v>
      </c>
      <c r="O248" s="2">
        <v>14</v>
      </c>
      <c r="P248" s="2">
        <v>14</v>
      </c>
      <c r="Q248" s="2">
        <v>-416.66666666666669</v>
      </c>
      <c r="R248" s="2">
        <v>0</v>
      </c>
      <c r="S248">
        <v>0</v>
      </c>
    </row>
    <row r="249" spans="1:19">
      <c r="A249" t="s">
        <v>30</v>
      </c>
      <c r="B249" s="1">
        <v>-416.66666666666669</v>
      </c>
      <c r="C249">
        <v>60</v>
      </c>
      <c r="D249">
        <v>120</v>
      </c>
      <c r="E249">
        <v>4</v>
      </c>
      <c r="F249">
        <v>0</v>
      </c>
      <c r="G249">
        <v>0</v>
      </c>
      <c r="H249">
        <v>140</v>
      </c>
      <c r="I249">
        <v>40</v>
      </c>
      <c r="J249" s="1">
        <v>-416.66666666666669</v>
      </c>
      <c r="K249">
        <v>10</v>
      </c>
      <c r="L249">
        <v>12</v>
      </c>
      <c r="M249" s="1">
        <v>-416.66666666666669</v>
      </c>
      <c r="N249" s="2">
        <v>14</v>
      </c>
      <c r="O249" s="2">
        <v>14</v>
      </c>
      <c r="P249" s="2">
        <v>14</v>
      </c>
      <c r="Q249" s="2">
        <v>-416.66666666666669</v>
      </c>
      <c r="R249" s="2">
        <v>0</v>
      </c>
      <c r="S249">
        <v>0</v>
      </c>
    </row>
    <row r="250" spans="1:19">
      <c r="A250" t="s">
        <v>30</v>
      </c>
      <c r="B250" s="1">
        <v>-416.66666666666669</v>
      </c>
      <c r="C250">
        <v>60</v>
      </c>
      <c r="D250">
        <v>120</v>
      </c>
      <c r="E250">
        <v>4</v>
      </c>
      <c r="F250">
        <v>0</v>
      </c>
      <c r="G250">
        <v>0</v>
      </c>
      <c r="H250">
        <v>140</v>
      </c>
      <c r="I250">
        <v>36</v>
      </c>
      <c r="J250" s="1">
        <v>-416.66666666666669</v>
      </c>
      <c r="K250">
        <v>12</v>
      </c>
      <c r="L250">
        <v>14</v>
      </c>
      <c r="M250" s="1">
        <v>-416.66666666666669</v>
      </c>
      <c r="N250" s="2">
        <v>14</v>
      </c>
      <c r="O250" s="2">
        <v>15</v>
      </c>
      <c r="P250" s="2">
        <v>16</v>
      </c>
      <c r="Q250" s="2">
        <v>-416.66666666666669</v>
      </c>
      <c r="R250" s="2">
        <v>0</v>
      </c>
      <c r="S250">
        <v>0</v>
      </c>
    </row>
    <row r="251" spans="1:19">
      <c r="A251" t="s">
        <v>30</v>
      </c>
      <c r="B251" s="1">
        <v>-416.66666666666669</v>
      </c>
      <c r="C251">
        <v>64</v>
      </c>
      <c r="D251">
        <v>124</v>
      </c>
      <c r="E251">
        <v>4</v>
      </c>
      <c r="F251">
        <v>0</v>
      </c>
      <c r="G251">
        <v>0</v>
      </c>
      <c r="H251">
        <v>136</v>
      </c>
      <c r="I251">
        <v>32</v>
      </c>
      <c r="J251" s="1">
        <v>-416.66666666666669</v>
      </c>
      <c r="K251">
        <v>14</v>
      </c>
      <c r="L251">
        <v>14</v>
      </c>
      <c r="M251" s="1">
        <v>-416.66666666666669</v>
      </c>
      <c r="N251" s="2">
        <v>16</v>
      </c>
      <c r="O251" s="2">
        <v>17</v>
      </c>
      <c r="P251" s="2">
        <v>18</v>
      </c>
      <c r="Q251" s="2">
        <v>-416.66666666666669</v>
      </c>
      <c r="R251" s="2">
        <v>0</v>
      </c>
      <c r="S251">
        <v>0</v>
      </c>
    </row>
    <row r="252" spans="1:19">
      <c r="A252" t="s">
        <v>30</v>
      </c>
      <c r="B252" s="1">
        <v>-416.66666666666669</v>
      </c>
      <c r="C252">
        <v>60</v>
      </c>
      <c r="D252">
        <v>124</v>
      </c>
      <c r="E252">
        <v>4</v>
      </c>
      <c r="F252">
        <v>0</v>
      </c>
      <c r="G252">
        <v>0</v>
      </c>
      <c r="H252">
        <v>136</v>
      </c>
      <c r="I252">
        <v>36</v>
      </c>
      <c r="J252" s="1">
        <v>-416.66666666666669</v>
      </c>
      <c r="K252">
        <v>16</v>
      </c>
      <c r="L252">
        <v>16</v>
      </c>
      <c r="M252" s="1">
        <v>-416.66666666666669</v>
      </c>
      <c r="N252" s="2">
        <v>18</v>
      </c>
      <c r="O252" s="2">
        <v>17</v>
      </c>
      <c r="P252" s="2">
        <v>16</v>
      </c>
      <c r="Q252" s="2">
        <v>-416.66666666666669</v>
      </c>
      <c r="R252" s="2">
        <v>0</v>
      </c>
      <c r="S252">
        <v>0</v>
      </c>
    </row>
    <row r="253" spans="1:19">
      <c r="A253" t="s">
        <v>30</v>
      </c>
      <c r="B253" s="1">
        <v>-416.66666666666669</v>
      </c>
      <c r="C253">
        <v>60</v>
      </c>
      <c r="D253">
        <v>124</v>
      </c>
      <c r="E253">
        <v>4</v>
      </c>
      <c r="F253">
        <v>0</v>
      </c>
      <c r="G253">
        <v>0</v>
      </c>
      <c r="H253">
        <v>136</v>
      </c>
      <c r="I253">
        <v>36</v>
      </c>
      <c r="J253" s="1">
        <v>-416.66666666666669</v>
      </c>
      <c r="K253">
        <v>18</v>
      </c>
      <c r="L253">
        <v>18</v>
      </c>
      <c r="M253" s="1">
        <v>-416.66666666666669</v>
      </c>
      <c r="N253" s="2">
        <v>20</v>
      </c>
      <c r="O253" s="2">
        <v>20</v>
      </c>
      <c r="P253" s="2">
        <v>20</v>
      </c>
      <c r="Q253" s="2">
        <v>-416.66666666666669</v>
      </c>
      <c r="R253" s="2">
        <v>0</v>
      </c>
      <c r="S253">
        <v>0</v>
      </c>
    </row>
    <row r="254" spans="1:19">
      <c r="A254" t="s">
        <v>30</v>
      </c>
      <c r="B254" s="1">
        <v>-416.66666666666669</v>
      </c>
      <c r="C254">
        <v>60</v>
      </c>
      <c r="D254">
        <v>124</v>
      </c>
      <c r="E254">
        <v>4</v>
      </c>
      <c r="F254">
        <v>0</v>
      </c>
      <c r="G254">
        <v>0</v>
      </c>
      <c r="H254">
        <v>136</v>
      </c>
      <c r="I254">
        <v>36</v>
      </c>
      <c r="J254" s="1">
        <v>-416.66666666666669</v>
      </c>
      <c r="K254">
        <v>20</v>
      </c>
      <c r="L254">
        <v>20</v>
      </c>
      <c r="M254" s="1">
        <v>-416.66666666666669</v>
      </c>
      <c r="N254" s="2">
        <v>20</v>
      </c>
      <c r="O254" s="2">
        <v>21</v>
      </c>
      <c r="P254" s="2">
        <v>22</v>
      </c>
      <c r="Q254" s="2">
        <v>-416.66666666666669</v>
      </c>
      <c r="R254" s="2">
        <v>0</v>
      </c>
      <c r="S254">
        <v>0</v>
      </c>
    </row>
    <row r="255" spans="1:19">
      <c r="A255" t="s">
        <v>30</v>
      </c>
      <c r="B255" s="1">
        <v>-416.66666666666669</v>
      </c>
      <c r="C255">
        <v>64</v>
      </c>
      <c r="D255">
        <v>128</v>
      </c>
      <c r="E255">
        <v>4</v>
      </c>
      <c r="F255">
        <v>0</v>
      </c>
      <c r="G255">
        <v>0</v>
      </c>
      <c r="H255">
        <v>136</v>
      </c>
      <c r="I255">
        <v>36</v>
      </c>
      <c r="J255" s="1">
        <v>-416.66666666666669</v>
      </c>
      <c r="K255">
        <v>22</v>
      </c>
      <c r="L255">
        <v>22</v>
      </c>
      <c r="M255" s="1">
        <v>-416.66666666666669</v>
      </c>
      <c r="N255" s="2">
        <v>24</v>
      </c>
      <c r="O255" s="2">
        <v>24</v>
      </c>
      <c r="P255" s="2">
        <v>24</v>
      </c>
      <c r="Q255" s="2">
        <v>-416.66666666666669</v>
      </c>
      <c r="R255" s="2">
        <v>0</v>
      </c>
      <c r="S255">
        <v>0</v>
      </c>
    </row>
    <row r="256" spans="1:19">
      <c r="A256" t="s">
        <v>30</v>
      </c>
      <c r="B256" s="1">
        <v>-416.66666666666669</v>
      </c>
      <c r="C256">
        <v>60</v>
      </c>
      <c r="D256">
        <v>132</v>
      </c>
      <c r="E256">
        <v>4</v>
      </c>
      <c r="F256">
        <v>0</v>
      </c>
      <c r="G256">
        <v>0</v>
      </c>
      <c r="H256">
        <v>136</v>
      </c>
      <c r="I256">
        <v>36</v>
      </c>
      <c r="J256" s="1">
        <v>-416.66666666666669</v>
      </c>
      <c r="K256">
        <v>25</v>
      </c>
      <c r="L256">
        <v>25</v>
      </c>
      <c r="M256" s="1">
        <v>-416.66666666666669</v>
      </c>
      <c r="N256" s="2">
        <v>26</v>
      </c>
      <c r="O256" s="2">
        <v>27</v>
      </c>
      <c r="P256" s="2">
        <v>28</v>
      </c>
      <c r="Q256" s="2">
        <v>-416.66666666666669</v>
      </c>
      <c r="R256" s="2">
        <v>0</v>
      </c>
      <c r="S256">
        <v>0</v>
      </c>
    </row>
    <row r="257" spans="1:19">
      <c r="A257" t="s">
        <v>30</v>
      </c>
      <c r="B257" s="1">
        <v>-416.66666666666669</v>
      </c>
      <c r="C257">
        <v>64</v>
      </c>
      <c r="D257">
        <v>136</v>
      </c>
      <c r="E257">
        <v>4</v>
      </c>
      <c r="F257">
        <v>0</v>
      </c>
      <c r="G257">
        <v>0</v>
      </c>
      <c r="H257">
        <v>140</v>
      </c>
      <c r="I257">
        <v>32</v>
      </c>
      <c r="J257" s="1">
        <v>-416.66666666666669</v>
      </c>
      <c r="K257">
        <v>28</v>
      </c>
      <c r="L257">
        <v>28</v>
      </c>
      <c r="M257" s="1">
        <v>-416.66666666666669</v>
      </c>
      <c r="N257" s="2">
        <v>28</v>
      </c>
      <c r="O257" s="2">
        <v>29</v>
      </c>
      <c r="P257" s="2">
        <v>30</v>
      </c>
      <c r="Q257" s="2">
        <v>-416.66666666666669</v>
      </c>
      <c r="R257" s="2">
        <v>0</v>
      </c>
      <c r="S257">
        <v>0</v>
      </c>
    </row>
    <row r="258" spans="1:19">
      <c r="A258" t="s">
        <v>30</v>
      </c>
      <c r="B258" s="1">
        <v>-416.66666666666669</v>
      </c>
      <c r="C258">
        <v>60</v>
      </c>
      <c r="D258">
        <v>136</v>
      </c>
      <c r="E258">
        <v>4</v>
      </c>
      <c r="F258">
        <v>0</v>
      </c>
      <c r="G258">
        <v>0</v>
      </c>
      <c r="H258">
        <v>140</v>
      </c>
      <c r="I258">
        <v>36</v>
      </c>
      <c r="J258" s="1">
        <v>-416.66666666666669</v>
      </c>
      <c r="K258">
        <v>32</v>
      </c>
      <c r="L258">
        <v>32</v>
      </c>
      <c r="M258" s="1">
        <v>-416.66666666666669</v>
      </c>
      <c r="N258" s="2">
        <v>34</v>
      </c>
      <c r="O258" s="2">
        <v>35</v>
      </c>
      <c r="P258" s="2">
        <v>36</v>
      </c>
      <c r="Q258" s="2">
        <v>-416.66666666666669</v>
      </c>
      <c r="R258" s="2">
        <v>0</v>
      </c>
      <c r="S258">
        <v>0</v>
      </c>
    </row>
    <row r="259" spans="1:19">
      <c r="A259" t="s">
        <v>30</v>
      </c>
      <c r="B259" s="1">
        <v>-416.66666666666669</v>
      </c>
      <c r="C259">
        <v>68</v>
      </c>
      <c r="D259">
        <v>140</v>
      </c>
      <c r="E259">
        <v>4</v>
      </c>
      <c r="F259">
        <v>0</v>
      </c>
      <c r="G259">
        <v>0</v>
      </c>
      <c r="H259">
        <v>124</v>
      </c>
      <c r="I259">
        <v>32</v>
      </c>
      <c r="J259" s="1">
        <v>-416.66666666666669</v>
      </c>
      <c r="K259">
        <v>36</v>
      </c>
      <c r="L259">
        <v>36</v>
      </c>
      <c r="M259" s="1">
        <v>-416.66666666666669</v>
      </c>
      <c r="N259" s="2">
        <v>40</v>
      </c>
      <c r="O259" s="2">
        <v>39</v>
      </c>
      <c r="P259" s="2">
        <v>38</v>
      </c>
      <c r="Q259" s="2">
        <v>-416.66666666666669</v>
      </c>
      <c r="R259" s="2">
        <v>0</v>
      </c>
      <c r="S259">
        <v>0</v>
      </c>
    </row>
    <row r="260" spans="1:19">
      <c r="A260" t="s">
        <v>30</v>
      </c>
      <c r="B260" s="1">
        <v>-416.66666666666669</v>
      </c>
      <c r="C260">
        <v>64</v>
      </c>
      <c r="D260">
        <v>116</v>
      </c>
      <c r="E260">
        <v>4</v>
      </c>
      <c r="F260">
        <v>0</v>
      </c>
      <c r="G260">
        <v>0</v>
      </c>
      <c r="H260">
        <v>112</v>
      </c>
      <c r="I260">
        <v>32</v>
      </c>
      <c r="J260" s="1">
        <v>-416.66666666666669</v>
      </c>
      <c r="K260">
        <v>41</v>
      </c>
      <c r="L260">
        <v>39</v>
      </c>
      <c r="M260" s="1">
        <v>-416.66666666666669</v>
      </c>
      <c r="N260" s="2">
        <v>48</v>
      </c>
      <c r="O260" s="2">
        <v>45</v>
      </c>
      <c r="P260" s="2">
        <v>42</v>
      </c>
      <c r="Q260" s="2">
        <v>-416.66666666666669</v>
      </c>
      <c r="R260" s="2">
        <v>0</v>
      </c>
      <c r="S260">
        <v>0</v>
      </c>
    </row>
    <row r="261" spans="1:19">
      <c r="A261" t="s">
        <v>30</v>
      </c>
      <c r="B261" s="1">
        <v>-416.66666666666669</v>
      </c>
      <c r="C261">
        <v>68</v>
      </c>
      <c r="D261">
        <v>100</v>
      </c>
      <c r="E261">
        <v>8</v>
      </c>
      <c r="F261">
        <v>0</v>
      </c>
      <c r="G261">
        <v>0</v>
      </c>
      <c r="H261">
        <v>124</v>
      </c>
      <c r="I261">
        <v>24</v>
      </c>
      <c r="J261" s="1">
        <v>-416.66666666666669</v>
      </c>
      <c r="K261">
        <v>45</v>
      </c>
      <c r="L261">
        <v>45</v>
      </c>
      <c r="M261" s="1">
        <v>-416.66666666666669</v>
      </c>
      <c r="N261" s="2">
        <v>50</v>
      </c>
      <c r="O261" s="2">
        <v>48</v>
      </c>
      <c r="P261" s="2">
        <v>46</v>
      </c>
      <c r="Q261" s="2">
        <v>-416.66666666666669</v>
      </c>
      <c r="R261" s="2">
        <v>0</v>
      </c>
      <c r="S261">
        <v>0</v>
      </c>
    </row>
    <row r="262" spans="1:19">
      <c r="A262" t="s">
        <v>30</v>
      </c>
      <c r="B262" s="1">
        <v>-416.66666666666669</v>
      </c>
      <c r="C262">
        <v>68</v>
      </c>
      <c r="D262">
        <v>144</v>
      </c>
      <c r="E262">
        <v>4</v>
      </c>
      <c r="F262">
        <v>0</v>
      </c>
      <c r="G262">
        <v>0</v>
      </c>
      <c r="H262">
        <v>124</v>
      </c>
      <c r="I262">
        <v>28</v>
      </c>
      <c r="J262" s="1">
        <v>-416.66666666666669</v>
      </c>
      <c r="K262">
        <v>54</v>
      </c>
      <c r="L262">
        <v>48</v>
      </c>
      <c r="M262" s="1">
        <v>-416.66666666666669</v>
      </c>
      <c r="N262" s="2">
        <v>54</v>
      </c>
      <c r="O262" s="2">
        <v>53</v>
      </c>
      <c r="P262" s="2">
        <v>52</v>
      </c>
      <c r="Q262" s="2">
        <v>-416.66666666666669</v>
      </c>
      <c r="R262" s="2">
        <v>0</v>
      </c>
      <c r="S262">
        <v>0</v>
      </c>
    </row>
    <row r="263" spans="1:19">
      <c r="A263" t="s">
        <v>30</v>
      </c>
      <c r="B263" s="1">
        <v>-416.66666666666669</v>
      </c>
      <c r="C263">
        <v>72</v>
      </c>
      <c r="D263">
        <v>148</v>
      </c>
      <c r="E263">
        <v>4</v>
      </c>
      <c r="F263">
        <v>0</v>
      </c>
      <c r="G263">
        <v>0</v>
      </c>
      <c r="H263">
        <v>124</v>
      </c>
      <c r="I263">
        <v>32</v>
      </c>
      <c r="J263" s="1">
        <v>-416.66666666666669</v>
      </c>
      <c r="K263">
        <v>60</v>
      </c>
      <c r="L263">
        <v>54</v>
      </c>
      <c r="M263" s="1">
        <v>-416.66666666666669</v>
      </c>
      <c r="N263" s="2">
        <v>74</v>
      </c>
      <c r="O263" s="2">
        <v>68</v>
      </c>
      <c r="P263" s="2">
        <v>62</v>
      </c>
      <c r="Q263" s="2">
        <v>-416.66666666666669</v>
      </c>
      <c r="R263" s="2">
        <v>0</v>
      </c>
      <c r="S263">
        <v>0</v>
      </c>
    </row>
    <row r="264" spans="1:19">
      <c r="A264" t="s">
        <v>30</v>
      </c>
      <c r="B264" s="1">
        <v>-416.66666666666669</v>
      </c>
      <c r="C264">
        <v>72</v>
      </c>
      <c r="D264">
        <v>152</v>
      </c>
      <c r="E264">
        <v>4</v>
      </c>
      <c r="F264">
        <v>0</v>
      </c>
      <c r="G264">
        <v>0</v>
      </c>
      <c r="H264">
        <v>116</v>
      </c>
      <c r="I264">
        <v>28</v>
      </c>
      <c r="J264" s="1">
        <v>-416.66666666666669</v>
      </c>
      <c r="K264">
        <v>82</v>
      </c>
      <c r="L264">
        <v>48</v>
      </c>
      <c r="M264" s="1">
        <v>-416.66666666666669</v>
      </c>
      <c r="N264" s="2">
        <v>104</v>
      </c>
      <c r="O264" s="2">
        <v>89</v>
      </c>
      <c r="P264" s="2">
        <v>74</v>
      </c>
      <c r="Q264" s="2">
        <v>-416.66666666666669</v>
      </c>
      <c r="R264" s="2">
        <v>2</v>
      </c>
      <c r="S264">
        <v>0</v>
      </c>
    </row>
    <row r="265" spans="1:19">
      <c r="A265" t="s">
        <v>30</v>
      </c>
      <c r="B265" s="1">
        <v>-416.66666666666669</v>
      </c>
      <c r="C265">
        <v>76</v>
      </c>
      <c r="D265">
        <v>156</v>
      </c>
      <c r="E265">
        <v>8</v>
      </c>
      <c r="F265">
        <v>0</v>
      </c>
      <c r="G265">
        <v>0</v>
      </c>
      <c r="H265">
        <v>116</v>
      </c>
      <c r="I265">
        <v>24</v>
      </c>
      <c r="J265" s="1">
        <v>-416.66666666666669</v>
      </c>
      <c r="K265">
        <v>100</v>
      </c>
      <c r="L265">
        <v>82</v>
      </c>
      <c r="M265" s="1">
        <v>-416.66666666666669</v>
      </c>
      <c r="N265" s="2">
        <v>110</v>
      </c>
      <c r="O265" s="2">
        <v>92</v>
      </c>
      <c r="P265" s="2">
        <v>74</v>
      </c>
      <c r="Q265" s="2">
        <v>-416.66666666666669</v>
      </c>
      <c r="R265" s="2">
        <v>2</v>
      </c>
      <c r="S265">
        <v>0</v>
      </c>
    </row>
    <row r="266" spans="1:19">
      <c r="A266" t="s">
        <v>30</v>
      </c>
      <c r="B266" s="1">
        <v>-416.66666666666669</v>
      </c>
      <c r="C266">
        <v>84</v>
      </c>
      <c r="D266">
        <v>160</v>
      </c>
      <c r="E266">
        <v>8</v>
      </c>
      <c r="F266">
        <v>0</v>
      </c>
      <c r="G266">
        <v>0</v>
      </c>
      <c r="H266">
        <v>112</v>
      </c>
      <c r="I266">
        <v>24</v>
      </c>
      <c r="J266" s="1">
        <v>-416.66666666666669</v>
      </c>
      <c r="K266">
        <v>100</v>
      </c>
      <c r="L266">
        <v>74</v>
      </c>
      <c r="M266" s="1">
        <v>-416.66666666666669</v>
      </c>
      <c r="N266" s="2">
        <v>126</v>
      </c>
      <c r="O266" s="2">
        <v>104</v>
      </c>
      <c r="P266" s="2">
        <v>82</v>
      </c>
      <c r="Q266" s="2">
        <v>-416.66666666666669</v>
      </c>
      <c r="R266" s="2">
        <v>2</v>
      </c>
      <c r="S266">
        <v>2</v>
      </c>
    </row>
    <row r="267" spans="1:19">
      <c r="A267" t="s">
        <v>30</v>
      </c>
      <c r="B267" s="1">
        <v>-416.66666666666669</v>
      </c>
      <c r="C267">
        <v>92</v>
      </c>
      <c r="D267">
        <v>172</v>
      </c>
      <c r="E267">
        <v>8</v>
      </c>
      <c r="F267">
        <v>0</v>
      </c>
      <c r="G267">
        <v>0</v>
      </c>
      <c r="H267">
        <v>104</v>
      </c>
      <c r="I267">
        <v>24</v>
      </c>
      <c r="J267" s="1">
        <v>-416.66666666666669</v>
      </c>
      <c r="K267">
        <v>100</v>
      </c>
      <c r="L267">
        <v>63</v>
      </c>
      <c r="M267" s="1">
        <v>-416.66666666666669</v>
      </c>
      <c r="N267" s="2">
        <v>152</v>
      </c>
      <c r="O267" s="2">
        <v>124</v>
      </c>
      <c r="P267" s="2">
        <v>96</v>
      </c>
      <c r="Q267" s="2">
        <v>-416.66666666666669</v>
      </c>
      <c r="R267" s="2">
        <v>4</v>
      </c>
      <c r="S267">
        <v>2</v>
      </c>
    </row>
    <row r="268" spans="1:19">
      <c r="A268" t="s">
        <v>30</v>
      </c>
      <c r="B268" s="1">
        <v>-416.66666666666669</v>
      </c>
      <c r="C268">
        <v>100</v>
      </c>
      <c r="D268">
        <v>176</v>
      </c>
      <c r="E268">
        <v>12</v>
      </c>
      <c r="F268">
        <v>0</v>
      </c>
      <c r="G268">
        <v>0</v>
      </c>
      <c r="H268">
        <v>100</v>
      </c>
      <c r="I268">
        <v>28</v>
      </c>
      <c r="J268" s="1">
        <v>-416.66666666666669</v>
      </c>
      <c r="K268">
        <v>100</v>
      </c>
      <c r="L268">
        <v>56</v>
      </c>
      <c r="M268" s="1">
        <v>-416.66666666666669</v>
      </c>
      <c r="N268" s="2">
        <v>164</v>
      </c>
      <c r="O268" s="2">
        <v>127</v>
      </c>
      <c r="P268" s="2">
        <v>90</v>
      </c>
      <c r="Q268" s="2">
        <v>-416.66666666666669</v>
      </c>
      <c r="R268" s="2">
        <v>6</v>
      </c>
      <c r="S268">
        <v>2</v>
      </c>
    </row>
    <row r="269" spans="1:19">
      <c r="A269" t="s">
        <v>30</v>
      </c>
      <c r="B269" s="1">
        <v>-416.66666666666669</v>
      </c>
      <c r="C269">
        <v>112</v>
      </c>
      <c r="D269">
        <v>184</v>
      </c>
      <c r="E269">
        <v>12</v>
      </c>
      <c r="F269">
        <v>0</v>
      </c>
      <c r="G269">
        <v>0</v>
      </c>
      <c r="H269">
        <v>96</v>
      </c>
      <c r="I269">
        <v>24</v>
      </c>
      <c r="J269" s="1">
        <v>-416.66666666666669</v>
      </c>
      <c r="K269">
        <v>88</v>
      </c>
      <c r="L269">
        <v>10</v>
      </c>
      <c r="M269" s="1">
        <v>-416.66666666666669</v>
      </c>
      <c r="N269" s="2">
        <v>160</v>
      </c>
      <c r="O269" s="2">
        <v>126</v>
      </c>
      <c r="P269" s="2">
        <v>92</v>
      </c>
      <c r="Q269" s="2">
        <v>-416.66666666666669</v>
      </c>
      <c r="R269" s="2">
        <v>6</v>
      </c>
      <c r="S269">
        <v>4</v>
      </c>
    </row>
    <row r="270" spans="1:19">
      <c r="A270" t="s">
        <v>30</v>
      </c>
      <c r="B270" s="1">
        <v>-416.66666666666669</v>
      </c>
      <c r="C270">
        <v>100</v>
      </c>
      <c r="D270">
        <v>180</v>
      </c>
      <c r="E270">
        <v>8</v>
      </c>
      <c r="F270">
        <v>0</v>
      </c>
      <c r="G270">
        <v>0</v>
      </c>
      <c r="H270">
        <v>104</v>
      </c>
      <c r="I270">
        <v>32</v>
      </c>
      <c r="J270" s="1">
        <v>-416.66666666666669</v>
      </c>
      <c r="K270">
        <v>35</v>
      </c>
      <c r="L270">
        <v>49</v>
      </c>
      <c r="M270" s="1">
        <v>-416.66666666666669</v>
      </c>
      <c r="N270" s="2">
        <v>116</v>
      </c>
      <c r="O270" s="2">
        <v>96</v>
      </c>
      <c r="P270" s="2">
        <v>76</v>
      </c>
      <c r="Q270" s="2">
        <v>-416.66666666666669</v>
      </c>
      <c r="R270" s="2">
        <v>6</v>
      </c>
      <c r="S270">
        <v>2</v>
      </c>
    </row>
    <row r="271" spans="1:19">
      <c r="A271" t="s">
        <v>30</v>
      </c>
      <c r="B271" s="1">
        <v>-416.66666666666669</v>
      </c>
      <c r="C271">
        <v>60</v>
      </c>
      <c r="D271">
        <v>160</v>
      </c>
      <c r="E271">
        <v>0</v>
      </c>
      <c r="F271">
        <v>0</v>
      </c>
      <c r="G271">
        <v>0</v>
      </c>
      <c r="H271">
        <v>124</v>
      </c>
      <c r="I271">
        <v>36</v>
      </c>
      <c r="J271" s="1">
        <v>-416.66666666666669</v>
      </c>
      <c r="K271">
        <v>19</v>
      </c>
      <c r="L271">
        <v>55</v>
      </c>
      <c r="M271" s="1">
        <v>-416.66666666666669</v>
      </c>
      <c r="N271" s="2">
        <v>84</v>
      </c>
      <c r="O271" s="2">
        <v>87</v>
      </c>
      <c r="P271" s="2">
        <v>90</v>
      </c>
      <c r="Q271" s="2">
        <v>-416.66666666666669</v>
      </c>
      <c r="R271" s="2">
        <v>0</v>
      </c>
      <c r="S271">
        <v>0</v>
      </c>
    </row>
    <row r="272" spans="1:19">
      <c r="A272" t="s">
        <v>30</v>
      </c>
      <c r="B272" s="1">
        <v>-416.66666666666669</v>
      </c>
      <c r="C272">
        <v>60</v>
      </c>
      <c r="D272">
        <v>164</v>
      </c>
      <c r="E272">
        <v>0</v>
      </c>
      <c r="F272">
        <v>0</v>
      </c>
      <c r="G272">
        <v>0</v>
      </c>
      <c r="H272">
        <v>124</v>
      </c>
      <c r="I272">
        <v>32</v>
      </c>
      <c r="J272" s="1">
        <v>-416.66666666666669</v>
      </c>
      <c r="K272">
        <v>39</v>
      </c>
      <c r="L272">
        <v>27</v>
      </c>
      <c r="M272" s="1">
        <v>-416.66666666666669</v>
      </c>
      <c r="N272" s="2">
        <v>86</v>
      </c>
      <c r="O272" s="2">
        <v>87</v>
      </c>
      <c r="P272" s="2">
        <v>88</v>
      </c>
      <c r="Q272" s="2">
        <v>-416.66666666666669</v>
      </c>
      <c r="R272" s="2">
        <v>0</v>
      </c>
      <c r="S272">
        <v>-2</v>
      </c>
    </row>
    <row r="273" spans="1:19">
      <c r="A273" t="s">
        <v>30</v>
      </c>
      <c r="B273" s="1">
        <v>-416.66666666666669</v>
      </c>
      <c r="C273">
        <v>56</v>
      </c>
      <c r="D273">
        <v>156</v>
      </c>
      <c r="E273">
        <v>0</v>
      </c>
      <c r="F273">
        <v>0</v>
      </c>
      <c r="G273">
        <v>0</v>
      </c>
      <c r="H273">
        <v>132</v>
      </c>
      <c r="I273">
        <v>36</v>
      </c>
      <c r="J273" s="1">
        <v>-416.66666666666669</v>
      </c>
      <c r="K273">
        <v>24</v>
      </c>
      <c r="L273">
        <v>36</v>
      </c>
      <c r="M273" s="1">
        <v>-416.66666666666669</v>
      </c>
      <c r="N273" s="2">
        <v>80</v>
      </c>
      <c r="O273" s="2">
        <v>80</v>
      </c>
      <c r="P273" s="2">
        <v>80</v>
      </c>
      <c r="Q273" s="2">
        <v>-416.66666666666669</v>
      </c>
      <c r="R273" s="2">
        <v>0</v>
      </c>
      <c r="S273">
        <v>-2</v>
      </c>
    </row>
    <row r="274" spans="1:19">
      <c r="A274" t="s">
        <v>30</v>
      </c>
      <c r="B274" s="1">
        <v>-416.66666666666669</v>
      </c>
      <c r="C274">
        <v>52</v>
      </c>
      <c r="D274">
        <v>112</v>
      </c>
      <c r="E274">
        <v>0</v>
      </c>
      <c r="F274">
        <v>0</v>
      </c>
      <c r="G274">
        <v>0</v>
      </c>
      <c r="H274">
        <v>108</v>
      </c>
      <c r="I274">
        <v>44</v>
      </c>
      <c r="J274" s="1">
        <v>-416.66666666666669</v>
      </c>
      <c r="K274">
        <v>25</v>
      </c>
      <c r="L274">
        <v>35</v>
      </c>
      <c r="M274" s="1">
        <v>-416.66666666666669</v>
      </c>
      <c r="N274" s="2">
        <v>64</v>
      </c>
      <c r="O274" s="2">
        <v>70</v>
      </c>
      <c r="P274" s="2">
        <v>76</v>
      </c>
      <c r="Q274" s="2">
        <v>-416.66666666666669</v>
      </c>
      <c r="R274" s="2">
        <v>0</v>
      </c>
      <c r="S274">
        <v>-2</v>
      </c>
    </row>
    <row r="275" spans="1:19">
      <c r="A275" t="s">
        <v>30</v>
      </c>
      <c r="B275" s="1">
        <v>-416.66666666666669</v>
      </c>
      <c r="C275">
        <v>52</v>
      </c>
      <c r="D275">
        <v>124</v>
      </c>
      <c r="E275">
        <v>0</v>
      </c>
      <c r="F275">
        <v>0</v>
      </c>
      <c r="G275">
        <v>0</v>
      </c>
      <c r="H275">
        <v>128</v>
      </c>
      <c r="I275">
        <v>44</v>
      </c>
      <c r="J275" s="1">
        <v>-416.66666666666669</v>
      </c>
      <c r="K275">
        <v>31</v>
      </c>
      <c r="L275">
        <v>29</v>
      </c>
      <c r="M275" s="1">
        <v>-416.66666666666669</v>
      </c>
      <c r="N275" s="2">
        <v>74</v>
      </c>
      <c r="O275" s="2">
        <v>75</v>
      </c>
      <c r="P275" s="2">
        <v>76</v>
      </c>
      <c r="Q275" s="2">
        <v>-416.66666666666669</v>
      </c>
      <c r="R275" s="2">
        <v>0</v>
      </c>
      <c r="S275">
        <v>-2</v>
      </c>
    </row>
    <row r="276" spans="1:19">
      <c r="A276" t="s">
        <v>30</v>
      </c>
      <c r="B276" s="1">
        <v>-416.66666666666669</v>
      </c>
      <c r="C276">
        <v>48</v>
      </c>
      <c r="D276">
        <v>120</v>
      </c>
      <c r="E276">
        <v>0</v>
      </c>
      <c r="F276">
        <v>0</v>
      </c>
      <c r="G276">
        <v>0</v>
      </c>
      <c r="H276">
        <v>132</v>
      </c>
      <c r="I276">
        <v>40</v>
      </c>
      <c r="J276" s="1">
        <v>-416.66666666666669</v>
      </c>
      <c r="K276">
        <v>28</v>
      </c>
      <c r="L276">
        <v>32</v>
      </c>
      <c r="M276" s="1">
        <v>-416.66666666666669</v>
      </c>
      <c r="N276">
        <v>72</v>
      </c>
      <c r="O276">
        <v>73</v>
      </c>
      <c r="P276">
        <v>74</v>
      </c>
      <c r="Q276" s="1">
        <v>-416.66666666666669</v>
      </c>
      <c r="R276">
        <v>0</v>
      </c>
      <c r="S276">
        <v>-2</v>
      </c>
    </row>
    <row r="277" spans="1:19">
      <c r="A277" t="s">
        <v>46</v>
      </c>
      <c r="B277" s="1">
        <v>-416.66666666666669</v>
      </c>
      <c r="C277">
        <v>52</v>
      </c>
      <c r="D277">
        <v>120</v>
      </c>
      <c r="E277">
        <v>0</v>
      </c>
      <c r="F277">
        <v>4</v>
      </c>
      <c r="G277">
        <v>0</v>
      </c>
      <c r="H277">
        <v>136</v>
      </c>
      <c r="I277">
        <v>44</v>
      </c>
      <c r="J277" s="1">
        <v>-416.66666666666669</v>
      </c>
      <c r="K277">
        <v>60</v>
      </c>
      <c r="L277">
        <v>60</v>
      </c>
      <c r="M277" s="1">
        <v>-416.66666666666669</v>
      </c>
      <c r="N277">
        <v>68</v>
      </c>
      <c r="O277">
        <v>69</v>
      </c>
      <c r="P277">
        <v>70</v>
      </c>
      <c r="Q277" s="1">
        <v>-416.66666666666669</v>
      </c>
      <c r="R277">
        <v>0</v>
      </c>
      <c r="S277">
        <v>-2</v>
      </c>
    </row>
    <row r="278" spans="1:19">
      <c r="A278" t="s">
        <v>46</v>
      </c>
      <c r="B278" s="1">
        <v>-416.66666666666669</v>
      </c>
      <c r="C278">
        <v>48</v>
      </c>
      <c r="D278">
        <v>116</v>
      </c>
      <c r="E278">
        <v>4</v>
      </c>
      <c r="F278">
        <v>4</v>
      </c>
      <c r="G278">
        <v>0</v>
      </c>
      <c r="H278">
        <v>136</v>
      </c>
      <c r="I278">
        <v>48</v>
      </c>
      <c r="J278" s="1">
        <v>-416.66666666666669</v>
      </c>
      <c r="K278">
        <v>47</v>
      </c>
      <c r="L278">
        <v>53</v>
      </c>
      <c r="M278" s="1">
        <v>-416.66666666666669</v>
      </c>
      <c r="N278">
        <v>72</v>
      </c>
      <c r="O278">
        <v>73</v>
      </c>
      <c r="P278">
        <v>74</v>
      </c>
      <c r="Q278" s="1">
        <v>-416.66666666666669</v>
      </c>
      <c r="R278">
        <v>0</v>
      </c>
      <c r="S278">
        <v>-2</v>
      </c>
    </row>
    <row r="279" spans="1:19">
      <c r="A279" t="s">
        <v>46</v>
      </c>
      <c r="B279" s="1">
        <v>-416.66666666666669</v>
      </c>
      <c r="C279">
        <v>48</v>
      </c>
      <c r="D279">
        <v>116</v>
      </c>
      <c r="E279">
        <v>0</v>
      </c>
      <c r="F279">
        <v>4</v>
      </c>
      <c r="G279">
        <v>0</v>
      </c>
      <c r="H279">
        <v>132</v>
      </c>
      <c r="I279">
        <v>44</v>
      </c>
      <c r="J279" s="1">
        <v>-416.66666666666669</v>
      </c>
      <c r="K279">
        <v>31</v>
      </c>
      <c r="L279">
        <v>29</v>
      </c>
      <c r="M279" s="1">
        <v>-416.66666666666669</v>
      </c>
      <c r="N279">
        <v>74</v>
      </c>
      <c r="O279">
        <v>76</v>
      </c>
      <c r="P279">
        <v>78</v>
      </c>
      <c r="Q279" s="1">
        <v>-416.66666666666669</v>
      </c>
      <c r="R279">
        <v>0</v>
      </c>
      <c r="S279">
        <v>-2</v>
      </c>
    </row>
    <row r="280" spans="1:19">
      <c r="A280" t="s">
        <v>46</v>
      </c>
      <c r="B280" s="1">
        <v>-416.66666666666669</v>
      </c>
      <c r="C280">
        <v>48</v>
      </c>
      <c r="D280">
        <v>120</v>
      </c>
      <c r="E280">
        <v>0</v>
      </c>
      <c r="F280">
        <v>4</v>
      </c>
      <c r="G280">
        <v>4</v>
      </c>
      <c r="H280">
        <v>136</v>
      </c>
      <c r="I280">
        <v>44</v>
      </c>
      <c r="J280" s="1">
        <v>-416.66666666666669</v>
      </c>
      <c r="K280">
        <v>45</v>
      </c>
      <c r="L280">
        <v>35</v>
      </c>
      <c r="M280" s="1">
        <v>-416.66666666666669</v>
      </c>
      <c r="N280">
        <v>84</v>
      </c>
      <c r="O280">
        <v>78</v>
      </c>
      <c r="P280">
        <v>72</v>
      </c>
      <c r="Q280" s="1">
        <v>-416.66666666666669</v>
      </c>
      <c r="R280">
        <v>0</v>
      </c>
      <c r="S280">
        <v>-2</v>
      </c>
    </row>
    <row r="281" spans="1:19">
      <c r="A281" t="s">
        <v>46</v>
      </c>
      <c r="B281" s="1">
        <v>-416.66666666666669</v>
      </c>
      <c r="C281">
        <v>52</v>
      </c>
      <c r="D281">
        <v>120</v>
      </c>
      <c r="E281">
        <v>0</v>
      </c>
      <c r="F281">
        <v>4</v>
      </c>
      <c r="G281">
        <v>4</v>
      </c>
      <c r="H281">
        <v>136</v>
      </c>
      <c r="I281">
        <v>40</v>
      </c>
      <c r="J281" s="1">
        <v>-416.66666666666669</v>
      </c>
      <c r="K281">
        <v>51</v>
      </c>
      <c r="L281">
        <v>49</v>
      </c>
      <c r="M281" s="1">
        <v>-416.66666666666669</v>
      </c>
      <c r="N281">
        <v>74</v>
      </c>
      <c r="O281">
        <v>69</v>
      </c>
      <c r="P281">
        <v>64</v>
      </c>
      <c r="Q281" s="1">
        <v>-416.66666666666669</v>
      </c>
      <c r="R281">
        <v>0</v>
      </c>
      <c r="S281">
        <v>0</v>
      </c>
    </row>
    <row r="282" spans="1:19">
      <c r="A282" t="s">
        <v>46</v>
      </c>
      <c r="B282" s="1">
        <v>-416.66666666666669</v>
      </c>
      <c r="C282">
        <v>56</v>
      </c>
      <c r="D282">
        <v>116</v>
      </c>
      <c r="E282">
        <v>0</v>
      </c>
      <c r="F282">
        <v>8</v>
      </c>
      <c r="G282">
        <v>4</v>
      </c>
      <c r="H282">
        <v>140</v>
      </c>
      <c r="I282">
        <v>48</v>
      </c>
      <c r="J282" s="1">
        <v>-416.66666666666669</v>
      </c>
      <c r="K282">
        <v>49</v>
      </c>
      <c r="L282">
        <v>51</v>
      </c>
      <c r="M282" s="1">
        <v>-416.66666666666669</v>
      </c>
      <c r="N282">
        <v>74</v>
      </c>
      <c r="O282">
        <v>73</v>
      </c>
      <c r="P282">
        <v>72</v>
      </c>
      <c r="Q282" s="1">
        <v>-416.66666666666669</v>
      </c>
      <c r="R282">
        <v>0</v>
      </c>
      <c r="S282">
        <v>-2</v>
      </c>
    </row>
    <row r="283" spans="1:19">
      <c r="A283" t="s">
        <v>46</v>
      </c>
      <c r="B283" s="1">
        <v>-416.66666666666669</v>
      </c>
      <c r="C283">
        <v>56</v>
      </c>
      <c r="D283">
        <v>116</v>
      </c>
      <c r="E283">
        <v>4</v>
      </c>
      <c r="F283">
        <v>8</v>
      </c>
      <c r="G283">
        <v>4</v>
      </c>
      <c r="H283">
        <v>144</v>
      </c>
      <c r="I283">
        <v>36</v>
      </c>
      <c r="J283" s="1">
        <v>-416.66666666666669</v>
      </c>
      <c r="K283">
        <v>27</v>
      </c>
      <c r="L283">
        <v>33</v>
      </c>
      <c r="M283" s="1">
        <v>-416.66666666666669</v>
      </c>
      <c r="N283">
        <v>76</v>
      </c>
      <c r="O283">
        <v>76</v>
      </c>
      <c r="P283">
        <v>76</v>
      </c>
      <c r="Q283" s="1">
        <v>-416.66666666666669</v>
      </c>
      <c r="R283">
        <v>0</v>
      </c>
      <c r="S283">
        <v>-2</v>
      </c>
    </row>
    <row r="284" spans="1:19">
      <c r="A284" t="s">
        <v>129</v>
      </c>
      <c r="B284" s="1">
        <v>-416.66666666666669</v>
      </c>
      <c r="C284">
        <v>52</v>
      </c>
      <c r="D284">
        <v>112</v>
      </c>
      <c r="E284">
        <v>4</v>
      </c>
      <c r="F284">
        <v>8</v>
      </c>
      <c r="G284">
        <v>4</v>
      </c>
      <c r="H284">
        <v>148</v>
      </c>
      <c r="I284">
        <v>12</v>
      </c>
      <c r="J284" s="1">
        <v>-416.66666666666669</v>
      </c>
      <c r="K284">
        <v>16</v>
      </c>
      <c r="L284">
        <v>24</v>
      </c>
      <c r="M284" s="1">
        <v>-416.66666666666669</v>
      </c>
      <c r="N284">
        <v>74</v>
      </c>
      <c r="O284">
        <v>76</v>
      </c>
      <c r="P284">
        <v>78</v>
      </c>
      <c r="Q284" s="1">
        <v>-416.66666666666669</v>
      </c>
      <c r="R284">
        <v>0</v>
      </c>
      <c r="S284">
        <v>-2</v>
      </c>
    </row>
    <row r="285" spans="1:19">
      <c r="A285" t="s">
        <v>129</v>
      </c>
      <c r="B285" s="1">
        <v>-416.66666666666669</v>
      </c>
      <c r="C285">
        <v>44</v>
      </c>
      <c r="D285">
        <v>116</v>
      </c>
      <c r="E285">
        <v>4</v>
      </c>
      <c r="F285">
        <v>12</v>
      </c>
      <c r="G285">
        <v>4</v>
      </c>
      <c r="H285">
        <v>148</v>
      </c>
      <c r="I285">
        <v>4</v>
      </c>
      <c r="J285" s="1">
        <v>-416.66666666666669</v>
      </c>
      <c r="K285">
        <v>18</v>
      </c>
      <c r="L285">
        <v>22</v>
      </c>
      <c r="M285" s="1">
        <v>-416.66666666666669</v>
      </c>
      <c r="N285">
        <v>56</v>
      </c>
      <c r="O285">
        <v>62</v>
      </c>
      <c r="P285">
        <v>68</v>
      </c>
      <c r="Q285" s="1">
        <v>-416.66666666666669</v>
      </c>
      <c r="R285">
        <v>0</v>
      </c>
      <c r="S285">
        <v>-2</v>
      </c>
    </row>
    <row r="286" spans="1:19">
      <c r="A286" t="s">
        <v>129</v>
      </c>
      <c r="B286" s="1">
        <v>-416.66666666666669</v>
      </c>
      <c r="C286">
        <v>44</v>
      </c>
      <c r="D286">
        <v>120</v>
      </c>
      <c r="E286">
        <v>4</v>
      </c>
      <c r="F286">
        <v>12</v>
      </c>
      <c r="G286">
        <v>8</v>
      </c>
      <c r="H286">
        <v>144</v>
      </c>
      <c r="I286">
        <v>0</v>
      </c>
      <c r="J286" s="1">
        <v>-416.66666666666669</v>
      </c>
      <c r="K286">
        <v>20</v>
      </c>
      <c r="L286">
        <v>20</v>
      </c>
      <c r="M286" s="1">
        <v>-416.66666666666669</v>
      </c>
      <c r="N286">
        <v>64</v>
      </c>
      <c r="O286">
        <v>64</v>
      </c>
      <c r="P286">
        <v>64</v>
      </c>
      <c r="Q286" s="1">
        <v>-416.66666666666669</v>
      </c>
      <c r="R286">
        <v>0</v>
      </c>
      <c r="S286">
        <v>0</v>
      </c>
    </row>
    <row r="287" spans="1:19">
      <c r="A287" t="s">
        <v>129</v>
      </c>
      <c r="B287" s="1">
        <v>-416.66666666666669</v>
      </c>
      <c r="C287">
        <v>48</v>
      </c>
      <c r="D287">
        <v>120</v>
      </c>
      <c r="E287">
        <v>8</v>
      </c>
      <c r="F287">
        <v>16</v>
      </c>
      <c r="G287">
        <v>8</v>
      </c>
      <c r="H287">
        <v>152</v>
      </c>
      <c r="I287">
        <v>0</v>
      </c>
      <c r="J287" s="1">
        <v>-416.66666666666669</v>
      </c>
      <c r="K287">
        <v>37</v>
      </c>
      <c r="L287">
        <v>33</v>
      </c>
      <c r="M287" s="1">
        <v>-416.66666666666669</v>
      </c>
      <c r="N287">
        <v>60</v>
      </c>
      <c r="O287">
        <v>59</v>
      </c>
      <c r="P287">
        <v>58</v>
      </c>
      <c r="Q287" s="1">
        <v>-416.66666666666669</v>
      </c>
      <c r="R287">
        <v>0</v>
      </c>
      <c r="S287">
        <v>0</v>
      </c>
    </row>
    <row r="288" spans="1:19">
      <c r="A288" t="s">
        <v>129</v>
      </c>
      <c r="B288" s="1">
        <v>-416.66666666666669</v>
      </c>
      <c r="C288">
        <v>48</v>
      </c>
      <c r="D288">
        <v>112</v>
      </c>
      <c r="E288">
        <v>8</v>
      </c>
      <c r="F288">
        <v>20</v>
      </c>
      <c r="G288">
        <v>12</v>
      </c>
      <c r="H288">
        <v>128</v>
      </c>
      <c r="I288">
        <v>0</v>
      </c>
      <c r="J288" s="1">
        <v>-416.66666666666669</v>
      </c>
      <c r="K288">
        <v>55</v>
      </c>
      <c r="L288">
        <v>15</v>
      </c>
      <c r="M288" s="1">
        <v>-416.66666666666669</v>
      </c>
      <c r="N288">
        <v>74</v>
      </c>
      <c r="O288">
        <v>63</v>
      </c>
      <c r="P288">
        <v>52</v>
      </c>
      <c r="Q288" s="1">
        <v>-416.66666666666669</v>
      </c>
      <c r="R288">
        <v>6</v>
      </c>
      <c r="S288">
        <v>0</v>
      </c>
    </row>
    <row r="289" spans="1:19">
      <c r="A289" t="s">
        <v>129</v>
      </c>
      <c r="B289" s="1">
        <v>-416.66666666666669</v>
      </c>
      <c r="C289">
        <v>40</v>
      </c>
      <c r="D289">
        <v>100</v>
      </c>
      <c r="E289">
        <v>12</v>
      </c>
      <c r="F289">
        <v>20</v>
      </c>
      <c r="G289">
        <v>12</v>
      </c>
      <c r="H289">
        <v>52</v>
      </c>
      <c r="I289">
        <v>0</v>
      </c>
      <c r="J289" s="1">
        <v>-416.66666666666669</v>
      </c>
      <c r="K289">
        <v>55</v>
      </c>
      <c r="L289">
        <v>15</v>
      </c>
      <c r="M289" s="1">
        <v>-416.66666666666669</v>
      </c>
      <c r="N289">
        <v>76</v>
      </c>
      <c r="O289">
        <v>65</v>
      </c>
      <c r="P289">
        <v>54</v>
      </c>
      <c r="Q289" s="1">
        <v>-416.66666666666669</v>
      </c>
      <c r="R289">
        <v>10</v>
      </c>
      <c r="S289">
        <v>-2</v>
      </c>
    </row>
    <row r="290" spans="1:19">
      <c r="A290" t="s">
        <v>129</v>
      </c>
      <c r="B290" s="1">
        <v>-416.66666666666669</v>
      </c>
      <c r="C290">
        <v>28</v>
      </c>
      <c r="D290">
        <v>84</v>
      </c>
      <c r="E290">
        <v>16</v>
      </c>
      <c r="F290">
        <v>16</v>
      </c>
      <c r="G290">
        <v>12</v>
      </c>
      <c r="H290">
        <v>16</v>
      </c>
      <c r="I290">
        <v>4</v>
      </c>
      <c r="J290" s="1">
        <v>-416.66666666666669</v>
      </c>
      <c r="K290">
        <v>55</v>
      </c>
      <c r="L290">
        <v>15</v>
      </c>
      <c r="M290" s="1">
        <v>-416.66666666666669</v>
      </c>
      <c r="N290">
        <v>76</v>
      </c>
      <c r="O290">
        <v>62</v>
      </c>
      <c r="P290">
        <v>48</v>
      </c>
      <c r="Q290" s="1">
        <v>-416.66666666666669</v>
      </c>
      <c r="R290">
        <v>12</v>
      </c>
      <c r="S290">
        <v>-6</v>
      </c>
    </row>
    <row r="291" spans="1:19">
      <c r="A291" t="s">
        <v>129</v>
      </c>
      <c r="B291" s="1">
        <v>-416.66666666666669</v>
      </c>
      <c r="C291">
        <v>16</v>
      </c>
      <c r="D291">
        <v>64</v>
      </c>
      <c r="E291">
        <v>24</v>
      </c>
      <c r="F291">
        <v>16</v>
      </c>
      <c r="G291">
        <v>12</v>
      </c>
      <c r="H291">
        <v>8</v>
      </c>
      <c r="I291">
        <v>4</v>
      </c>
      <c r="J291" s="1">
        <v>-416.66666666666669</v>
      </c>
      <c r="K291">
        <v>49</v>
      </c>
      <c r="L291">
        <v>21</v>
      </c>
      <c r="M291" s="1">
        <v>-416.66666666666669</v>
      </c>
      <c r="N291">
        <v>78</v>
      </c>
      <c r="O291">
        <v>60</v>
      </c>
      <c r="P291">
        <v>42</v>
      </c>
      <c r="Q291" s="1">
        <v>-416.66666666666669</v>
      </c>
      <c r="R291">
        <v>14</v>
      </c>
      <c r="S291">
        <v>-10</v>
      </c>
    </row>
    <row r="292" spans="1:19">
      <c r="A292" t="s">
        <v>129</v>
      </c>
      <c r="B292" s="1">
        <v>-416.66666666666669</v>
      </c>
      <c r="C292">
        <v>24</v>
      </c>
      <c r="D292">
        <v>48</v>
      </c>
      <c r="E292">
        <v>40</v>
      </c>
      <c r="F292">
        <v>20</v>
      </c>
      <c r="G292">
        <v>8</v>
      </c>
      <c r="H292">
        <v>8</v>
      </c>
      <c r="I292">
        <v>0</v>
      </c>
      <c r="J292" s="1">
        <v>-416.66666666666669</v>
      </c>
      <c r="K292">
        <v>51</v>
      </c>
      <c r="L292">
        <v>19</v>
      </c>
      <c r="M292" s="1">
        <v>-416.66666666666669</v>
      </c>
      <c r="N292">
        <v>84</v>
      </c>
      <c r="O292">
        <v>63</v>
      </c>
      <c r="P292">
        <v>42</v>
      </c>
      <c r="Q292" s="1">
        <v>-416.66666666666669</v>
      </c>
      <c r="R292">
        <v>14</v>
      </c>
      <c r="S292">
        <v>-16</v>
      </c>
    </row>
    <row r="293" spans="1:19">
      <c r="A293" t="s">
        <v>129</v>
      </c>
      <c r="B293" s="1">
        <v>-416.66666666666669</v>
      </c>
      <c r="C293">
        <v>32</v>
      </c>
      <c r="D293">
        <v>32</v>
      </c>
      <c r="E293">
        <v>52</v>
      </c>
      <c r="F293">
        <v>20</v>
      </c>
      <c r="G293">
        <v>8</v>
      </c>
      <c r="H293">
        <v>8</v>
      </c>
      <c r="I293">
        <v>0</v>
      </c>
      <c r="J293" s="1">
        <v>-416.66666666666669</v>
      </c>
      <c r="K293">
        <v>55</v>
      </c>
      <c r="L293">
        <v>15</v>
      </c>
      <c r="M293" s="1">
        <v>-416.66666666666669</v>
      </c>
      <c r="N293">
        <v>90</v>
      </c>
      <c r="O293">
        <v>64</v>
      </c>
      <c r="P293">
        <v>38</v>
      </c>
      <c r="Q293" s="1">
        <v>-416.66666666666669</v>
      </c>
      <c r="R293">
        <v>16</v>
      </c>
      <c r="S293">
        <v>-22</v>
      </c>
    </row>
    <row r="294" spans="1:19">
      <c r="A294" t="s">
        <v>129</v>
      </c>
      <c r="B294" s="1">
        <v>-416.66666666666669</v>
      </c>
      <c r="C294">
        <v>48</v>
      </c>
      <c r="D294">
        <v>16</v>
      </c>
      <c r="E294">
        <v>44</v>
      </c>
      <c r="F294">
        <v>20</v>
      </c>
      <c r="G294">
        <v>4</v>
      </c>
      <c r="H294">
        <v>8</v>
      </c>
      <c r="I294">
        <v>0</v>
      </c>
      <c r="J294" s="1">
        <v>-416.66666666666669</v>
      </c>
      <c r="K294">
        <v>41</v>
      </c>
      <c r="L294">
        <v>29</v>
      </c>
      <c r="M294" s="1">
        <v>-416.66666666666669</v>
      </c>
      <c r="N294">
        <v>80</v>
      </c>
      <c r="O294">
        <v>60</v>
      </c>
      <c r="P294">
        <v>40</v>
      </c>
      <c r="Q294" s="1">
        <v>-416.66666666666669</v>
      </c>
      <c r="R294">
        <v>16</v>
      </c>
      <c r="S294">
        <v>-30</v>
      </c>
    </row>
    <row r="295" spans="1:19">
      <c r="A295" t="s">
        <v>129</v>
      </c>
      <c r="B295" s="1">
        <v>-416.66666666666669</v>
      </c>
      <c r="C295">
        <v>88</v>
      </c>
      <c r="D295">
        <v>16</v>
      </c>
      <c r="E295">
        <v>44</v>
      </c>
      <c r="F295">
        <v>12</v>
      </c>
      <c r="G295">
        <v>0</v>
      </c>
      <c r="H295">
        <v>8</v>
      </c>
      <c r="I295">
        <v>4</v>
      </c>
      <c r="J295" s="1">
        <v>-416.66666666666669</v>
      </c>
      <c r="K295">
        <v>45</v>
      </c>
      <c r="L295">
        <v>25</v>
      </c>
      <c r="M295" s="1">
        <v>-416.66666666666669</v>
      </c>
      <c r="N295">
        <v>78</v>
      </c>
      <c r="O295">
        <v>60</v>
      </c>
      <c r="P295">
        <v>42</v>
      </c>
      <c r="Q295" s="1">
        <v>-416.66666666666669</v>
      </c>
      <c r="R295">
        <v>16</v>
      </c>
      <c r="S295">
        <v>-36</v>
      </c>
    </row>
    <row r="296" spans="1:19">
      <c r="A296" t="s">
        <v>129</v>
      </c>
      <c r="B296" s="1">
        <v>-416.66666666666669</v>
      </c>
      <c r="C296">
        <v>144</v>
      </c>
      <c r="D296">
        <v>16</v>
      </c>
      <c r="E296">
        <v>48</v>
      </c>
      <c r="F296">
        <v>8</v>
      </c>
      <c r="G296">
        <v>0</v>
      </c>
      <c r="H296">
        <v>8</v>
      </c>
      <c r="I296">
        <v>0</v>
      </c>
      <c r="J296" s="1">
        <v>-416.66666666666669</v>
      </c>
      <c r="K296">
        <v>46</v>
      </c>
      <c r="L296">
        <v>24</v>
      </c>
      <c r="M296" s="1">
        <v>-416.66666666666669</v>
      </c>
      <c r="N296">
        <v>82</v>
      </c>
      <c r="O296">
        <v>62</v>
      </c>
      <c r="P296">
        <v>42</v>
      </c>
      <c r="Q296" s="1">
        <v>-416.66666666666669</v>
      </c>
      <c r="R296">
        <v>16</v>
      </c>
      <c r="S296">
        <v>-44</v>
      </c>
    </row>
    <row r="297" spans="1:19">
      <c r="A297" t="s">
        <v>129</v>
      </c>
      <c r="B297" s="1">
        <v>-416.66666666666669</v>
      </c>
      <c r="C297">
        <v>124</v>
      </c>
      <c r="D297">
        <v>24</v>
      </c>
      <c r="E297">
        <v>48</v>
      </c>
      <c r="F297">
        <v>4</v>
      </c>
      <c r="G297">
        <v>0</v>
      </c>
      <c r="H297">
        <v>8</v>
      </c>
      <c r="I297">
        <v>0</v>
      </c>
      <c r="J297" s="1">
        <v>-416.66666666666669</v>
      </c>
      <c r="K297">
        <v>44</v>
      </c>
      <c r="L297">
        <v>26</v>
      </c>
      <c r="M297" s="1">
        <v>-416.66666666666669</v>
      </c>
      <c r="N297">
        <v>82</v>
      </c>
      <c r="O297">
        <v>63</v>
      </c>
      <c r="P297">
        <v>44</v>
      </c>
      <c r="Q297" s="1">
        <v>-416.66666666666669</v>
      </c>
      <c r="R297">
        <v>16</v>
      </c>
      <c r="S297">
        <v>-50</v>
      </c>
    </row>
    <row r="298" spans="1:19">
      <c r="A298" t="s">
        <v>129</v>
      </c>
      <c r="B298" s="1">
        <v>-416.66666666666669</v>
      </c>
      <c r="C298">
        <v>108</v>
      </c>
      <c r="D298">
        <v>36</v>
      </c>
      <c r="E298">
        <v>52</v>
      </c>
      <c r="F298">
        <v>0</v>
      </c>
      <c r="G298">
        <v>0</v>
      </c>
      <c r="H298">
        <v>8</v>
      </c>
      <c r="I298">
        <v>0</v>
      </c>
      <c r="J298" s="1">
        <v>-416.66666666666669</v>
      </c>
      <c r="K298">
        <v>47</v>
      </c>
      <c r="L298">
        <v>23</v>
      </c>
      <c r="M298" s="1">
        <v>-416.66666666666669</v>
      </c>
      <c r="N298">
        <v>80</v>
      </c>
      <c r="O298">
        <v>61</v>
      </c>
      <c r="P298">
        <v>42</v>
      </c>
      <c r="Q298" s="1">
        <v>-416.66666666666669</v>
      </c>
      <c r="R298">
        <v>16</v>
      </c>
      <c r="S298">
        <v>-58</v>
      </c>
    </row>
    <row r="299" spans="1:19">
      <c r="A299" t="s">
        <v>129</v>
      </c>
      <c r="B299" s="1">
        <v>-416.66666666666669</v>
      </c>
      <c r="C299">
        <v>112</v>
      </c>
      <c r="D299">
        <v>52</v>
      </c>
      <c r="E299">
        <v>36</v>
      </c>
      <c r="F299">
        <v>0</v>
      </c>
      <c r="G299">
        <v>0</v>
      </c>
      <c r="H299">
        <v>8</v>
      </c>
      <c r="I299">
        <v>8</v>
      </c>
      <c r="J299" s="1">
        <v>-416.66666666666669</v>
      </c>
      <c r="K299">
        <v>43</v>
      </c>
      <c r="L299">
        <v>27</v>
      </c>
      <c r="M299" s="1">
        <v>-416.66666666666669</v>
      </c>
      <c r="N299">
        <v>80</v>
      </c>
      <c r="O299">
        <v>60</v>
      </c>
      <c r="P299">
        <v>40</v>
      </c>
      <c r="Q299" s="1">
        <v>-416.66666666666669</v>
      </c>
      <c r="R299">
        <v>16</v>
      </c>
      <c r="S299">
        <v>-64</v>
      </c>
    </row>
    <row r="300" spans="1:19">
      <c r="A300" t="s">
        <v>129</v>
      </c>
      <c r="B300" s="1">
        <v>-416.66666666666669</v>
      </c>
      <c r="C300">
        <v>108</v>
      </c>
      <c r="D300">
        <v>72</v>
      </c>
      <c r="E300">
        <v>24</v>
      </c>
      <c r="F300">
        <v>0</v>
      </c>
      <c r="G300">
        <v>0</v>
      </c>
      <c r="H300">
        <v>4</v>
      </c>
      <c r="I300">
        <v>4</v>
      </c>
      <c r="J300" s="1">
        <v>-416.66666666666669</v>
      </c>
      <c r="K300">
        <v>46</v>
      </c>
      <c r="L300">
        <v>24</v>
      </c>
      <c r="M300" s="1">
        <v>-416.66666666666669</v>
      </c>
      <c r="N300">
        <v>80</v>
      </c>
      <c r="O300">
        <v>61</v>
      </c>
      <c r="P300">
        <v>42</v>
      </c>
      <c r="Q300" s="1">
        <v>-416.66666666666669</v>
      </c>
      <c r="R300">
        <v>16</v>
      </c>
      <c r="S300">
        <v>-70</v>
      </c>
    </row>
    <row r="301" spans="1:19">
      <c r="A301" t="s">
        <v>129</v>
      </c>
      <c r="B301" s="1">
        <v>-416.66666666666669</v>
      </c>
      <c r="C301">
        <v>72</v>
      </c>
      <c r="D301">
        <v>104</v>
      </c>
      <c r="E301">
        <v>12</v>
      </c>
      <c r="F301">
        <v>0</v>
      </c>
      <c r="G301">
        <v>0</v>
      </c>
      <c r="H301">
        <v>4</v>
      </c>
      <c r="I301">
        <v>8</v>
      </c>
      <c r="J301" s="1">
        <v>-416.66666666666669</v>
      </c>
      <c r="K301">
        <v>48</v>
      </c>
      <c r="L301">
        <v>22</v>
      </c>
      <c r="M301" s="1">
        <v>-416.66666666666669</v>
      </c>
      <c r="N301">
        <v>80</v>
      </c>
      <c r="O301">
        <v>61</v>
      </c>
      <c r="P301">
        <v>42</v>
      </c>
      <c r="Q301" s="1">
        <v>-416.66666666666669</v>
      </c>
      <c r="R301">
        <v>16</v>
      </c>
      <c r="S301">
        <v>-76</v>
      </c>
    </row>
    <row r="302" spans="1:19">
      <c r="A302" t="s">
        <v>129</v>
      </c>
      <c r="B302" s="1">
        <v>-416.66666666666669</v>
      </c>
      <c r="C302">
        <v>56</v>
      </c>
      <c r="D302">
        <v>92</v>
      </c>
      <c r="E302">
        <v>4</v>
      </c>
      <c r="F302">
        <v>0</v>
      </c>
      <c r="G302">
        <v>0</v>
      </c>
      <c r="H302">
        <v>0</v>
      </c>
      <c r="I302">
        <v>8</v>
      </c>
      <c r="J302" s="1">
        <v>-416.66666666666669</v>
      </c>
      <c r="K302">
        <v>47</v>
      </c>
      <c r="L302">
        <v>23</v>
      </c>
      <c r="M302" s="1">
        <v>-416.66666666666669</v>
      </c>
      <c r="N302">
        <v>82</v>
      </c>
      <c r="O302">
        <v>62</v>
      </c>
      <c r="P302">
        <v>42</v>
      </c>
      <c r="Q302" s="1">
        <v>-416.66666666666669</v>
      </c>
      <c r="R302">
        <v>16</v>
      </c>
      <c r="S302">
        <v>-84</v>
      </c>
    </row>
    <row r="303" spans="1:19">
      <c r="A303" t="s">
        <v>129</v>
      </c>
      <c r="B303" s="1">
        <v>-416.66666666666669</v>
      </c>
      <c r="C303">
        <v>36</v>
      </c>
      <c r="D303">
        <v>88</v>
      </c>
      <c r="E303">
        <v>0</v>
      </c>
      <c r="F303">
        <v>0</v>
      </c>
      <c r="G303">
        <v>4</v>
      </c>
      <c r="H303">
        <v>4</v>
      </c>
      <c r="I303">
        <v>0</v>
      </c>
      <c r="J303" s="1">
        <v>-416.66666666666669</v>
      </c>
      <c r="K303">
        <v>47</v>
      </c>
      <c r="L303">
        <v>23</v>
      </c>
      <c r="M303" s="1">
        <v>-416.66666666666669</v>
      </c>
      <c r="N303">
        <v>82</v>
      </c>
      <c r="O303">
        <v>61</v>
      </c>
      <c r="P303">
        <v>40</v>
      </c>
      <c r="Q303" s="1">
        <v>-416.66666666666669</v>
      </c>
      <c r="R303">
        <v>16</v>
      </c>
      <c r="S303">
        <v>-90</v>
      </c>
    </row>
    <row r="304" spans="1:19">
      <c r="A304" t="s">
        <v>129</v>
      </c>
      <c r="B304" s="1">
        <v>-416.66666666666669</v>
      </c>
      <c r="C304">
        <v>16</v>
      </c>
      <c r="D304">
        <v>64</v>
      </c>
      <c r="E304">
        <v>0</v>
      </c>
      <c r="F304">
        <v>0</v>
      </c>
      <c r="G304">
        <v>12</v>
      </c>
      <c r="H304">
        <v>4</v>
      </c>
      <c r="I304">
        <v>0</v>
      </c>
      <c r="J304" s="1">
        <v>-416.66666666666669</v>
      </c>
      <c r="K304">
        <v>43</v>
      </c>
      <c r="L304">
        <v>27</v>
      </c>
      <c r="M304" s="1">
        <v>-416.66666666666669</v>
      </c>
      <c r="N304">
        <v>80</v>
      </c>
      <c r="O304">
        <v>60</v>
      </c>
      <c r="P304">
        <v>40</v>
      </c>
      <c r="Q304" s="1">
        <v>-416.66666666666669</v>
      </c>
      <c r="R304">
        <v>16</v>
      </c>
      <c r="S304">
        <v>-98</v>
      </c>
    </row>
    <row r="305" spans="1:19">
      <c r="A305" t="s">
        <v>129</v>
      </c>
      <c r="B305" s="1">
        <v>-416.66666666666669</v>
      </c>
      <c r="C305">
        <v>4</v>
      </c>
      <c r="D305">
        <v>48</v>
      </c>
      <c r="E305">
        <v>0</v>
      </c>
      <c r="F305">
        <v>0</v>
      </c>
      <c r="G305">
        <v>12</v>
      </c>
      <c r="H305">
        <v>4</v>
      </c>
      <c r="I305">
        <v>4</v>
      </c>
      <c r="J305" s="1">
        <v>-416.66666666666669</v>
      </c>
      <c r="K305">
        <v>44</v>
      </c>
      <c r="L305">
        <v>26</v>
      </c>
      <c r="M305" s="1">
        <v>-416.66666666666669</v>
      </c>
      <c r="N305">
        <v>80</v>
      </c>
      <c r="O305">
        <v>62</v>
      </c>
      <c r="P305">
        <v>44</v>
      </c>
      <c r="Q305" s="1">
        <v>-416.66666666666669</v>
      </c>
      <c r="R305">
        <v>16</v>
      </c>
      <c r="S305">
        <v>-104</v>
      </c>
    </row>
    <row r="306" spans="1:19">
      <c r="A306" t="s">
        <v>129</v>
      </c>
      <c r="B306" s="1">
        <v>-416.66666666666669</v>
      </c>
      <c r="C306">
        <v>4</v>
      </c>
      <c r="D306">
        <v>32</v>
      </c>
      <c r="E306">
        <v>0</v>
      </c>
      <c r="F306">
        <v>4</v>
      </c>
      <c r="G306">
        <v>8</v>
      </c>
      <c r="H306">
        <v>4</v>
      </c>
      <c r="I306">
        <v>4</v>
      </c>
      <c r="J306" s="1">
        <v>-416.66666666666669</v>
      </c>
      <c r="K306">
        <v>47</v>
      </c>
      <c r="L306">
        <v>23</v>
      </c>
      <c r="M306" s="1">
        <v>-416.66666666666669</v>
      </c>
      <c r="N306">
        <v>82</v>
      </c>
      <c r="O306">
        <v>62</v>
      </c>
      <c r="P306" s="12">
        <v>42</v>
      </c>
      <c r="Q306" s="1">
        <v>-416.66666666666669</v>
      </c>
      <c r="R306">
        <v>16</v>
      </c>
      <c r="S306">
        <v>-110</v>
      </c>
    </row>
    <row r="307" spans="1:19">
      <c r="A307" t="s">
        <v>129</v>
      </c>
      <c r="B307" s="1">
        <v>-416.66666666666669</v>
      </c>
      <c r="C307">
        <v>0</v>
      </c>
      <c r="D307">
        <v>20</v>
      </c>
      <c r="E307">
        <v>0</v>
      </c>
      <c r="F307">
        <v>16</v>
      </c>
      <c r="G307">
        <v>8</v>
      </c>
      <c r="H307">
        <v>12</v>
      </c>
      <c r="I307">
        <v>0</v>
      </c>
      <c r="J307" s="1">
        <v>-416.66666666666669</v>
      </c>
      <c r="K307">
        <v>47</v>
      </c>
      <c r="L307">
        <v>23</v>
      </c>
      <c r="M307" s="1">
        <v>-416.66666666666669</v>
      </c>
      <c r="N307">
        <v>80</v>
      </c>
      <c r="O307">
        <v>61</v>
      </c>
      <c r="P307" s="12">
        <v>42</v>
      </c>
      <c r="Q307" s="1">
        <v>-416.66666666666669</v>
      </c>
      <c r="R307">
        <v>16</v>
      </c>
      <c r="S307">
        <v>-118</v>
      </c>
    </row>
    <row r="308" spans="1:19">
      <c r="A308" t="s">
        <v>129</v>
      </c>
      <c r="B308" s="1">
        <v>-416.66666666666669</v>
      </c>
      <c r="C308">
        <v>0</v>
      </c>
      <c r="D308">
        <v>8</v>
      </c>
      <c r="E308">
        <v>0</v>
      </c>
      <c r="F308">
        <v>16</v>
      </c>
      <c r="G308">
        <v>4</v>
      </c>
      <c r="H308">
        <v>20</v>
      </c>
      <c r="I308">
        <v>4</v>
      </c>
      <c r="J308" s="1">
        <v>-416.66666666666669</v>
      </c>
      <c r="K308">
        <v>48</v>
      </c>
      <c r="L308">
        <v>22</v>
      </c>
      <c r="M308" s="1">
        <v>-416.66666666666669</v>
      </c>
      <c r="N308">
        <v>82</v>
      </c>
      <c r="O308">
        <v>61</v>
      </c>
      <c r="P308" s="12">
        <v>40</v>
      </c>
      <c r="Q308" s="1">
        <v>-416.66666666666669</v>
      </c>
      <c r="R308">
        <v>16</v>
      </c>
      <c r="S308">
        <v>-124</v>
      </c>
    </row>
    <row r="309" spans="1:19">
      <c r="A309" t="s">
        <v>129</v>
      </c>
      <c r="B309" s="1">
        <v>-416.66666666666669</v>
      </c>
      <c r="C309">
        <v>8</v>
      </c>
      <c r="D309">
        <v>4</v>
      </c>
      <c r="E309">
        <v>0</v>
      </c>
      <c r="F309">
        <v>12</v>
      </c>
      <c r="G309">
        <v>0</v>
      </c>
      <c r="H309">
        <v>36</v>
      </c>
      <c r="I309">
        <v>4</v>
      </c>
      <c r="J309" s="1">
        <v>-416.66666666666669</v>
      </c>
      <c r="K309">
        <v>43</v>
      </c>
      <c r="L309">
        <v>27</v>
      </c>
      <c r="M309" s="1">
        <v>-416.66666666666669</v>
      </c>
      <c r="N309">
        <v>80</v>
      </c>
      <c r="O309">
        <v>61</v>
      </c>
      <c r="P309" s="12">
        <v>42</v>
      </c>
      <c r="Q309" s="1">
        <v>-416.66666666666669</v>
      </c>
      <c r="R309">
        <v>16</v>
      </c>
      <c r="S309">
        <v>-130</v>
      </c>
    </row>
    <row r="310" spans="1:19">
      <c r="A310" t="s">
        <v>129</v>
      </c>
      <c r="B310" s="1">
        <v>-416.66666666666669</v>
      </c>
      <c r="C310">
        <v>8</v>
      </c>
      <c r="D310">
        <v>0</v>
      </c>
      <c r="E310">
        <v>12</v>
      </c>
      <c r="F310">
        <v>8</v>
      </c>
      <c r="G310">
        <v>0</v>
      </c>
      <c r="H310">
        <v>48</v>
      </c>
      <c r="I310">
        <v>4</v>
      </c>
      <c r="J310" s="1">
        <v>-416.66666666666669</v>
      </c>
      <c r="K310">
        <v>45</v>
      </c>
      <c r="L310">
        <v>25</v>
      </c>
      <c r="M310" s="1">
        <v>-416.66666666666669</v>
      </c>
      <c r="N310">
        <v>80</v>
      </c>
      <c r="O310">
        <v>62</v>
      </c>
      <c r="P310" s="12">
        <v>44</v>
      </c>
      <c r="Q310" s="1">
        <v>-416.66666666666669</v>
      </c>
      <c r="R310">
        <v>16</v>
      </c>
      <c r="S310">
        <v>-138</v>
      </c>
    </row>
    <row r="311" spans="1:19">
      <c r="A311" t="s">
        <v>129</v>
      </c>
      <c r="B311" s="1">
        <v>-416.66666666666669</v>
      </c>
      <c r="C311">
        <v>4</v>
      </c>
      <c r="D311">
        <v>0</v>
      </c>
      <c r="E311">
        <v>52</v>
      </c>
      <c r="F311">
        <v>4</v>
      </c>
      <c r="G311">
        <v>0</v>
      </c>
      <c r="H311">
        <v>64</v>
      </c>
      <c r="I311">
        <v>0</v>
      </c>
      <c r="J311" s="1">
        <v>-416.66666666666669</v>
      </c>
      <c r="K311">
        <v>48</v>
      </c>
      <c r="L311">
        <v>22</v>
      </c>
      <c r="M311" s="1">
        <v>-416.66666666666669</v>
      </c>
      <c r="N311">
        <v>82</v>
      </c>
      <c r="O311">
        <v>62</v>
      </c>
      <c r="P311" s="12">
        <v>42</v>
      </c>
      <c r="Q311" s="1">
        <v>-416.66666666666669</v>
      </c>
      <c r="R311">
        <v>16</v>
      </c>
      <c r="S311">
        <v>-144</v>
      </c>
    </row>
    <row r="312" spans="1:19">
      <c r="A312" t="s">
        <v>129</v>
      </c>
      <c r="B312" s="1">
        <v>-416.66666666666669</v>
      </c>
      <c r="C312">
        <v>32</v>
      </c>
      <c r="D312">
        <v>0</v>
      </c>
      <c r="E312">
        <v>52</v>
      </c>
      <c r="F312">
        <v>0</v>
      </c>
      <c r="G312">
        <v>0</v>
      </c>
      <c r="H312">
        <v>80</v>
      </c>
      <c r="I312">
        <v>0</v>
      </c>
      <c r="J312" s="1">
        <v>-416.66666666666669</v>
      </c>
      <c r="K312">
        <v>46</v>
      </c>
      <c r="L312">
        <v>24</v>
      </c>
      <c r="M312" s="1">
        <v>-416.66666666666669</v>
      </c>
      <c r="N312">
        <v>80</v>
      </c>
      <c r="O312">
        <v>61</v>
      </c>
      <c r="P312" s="12">
        <v>42</v>
      </c>
      <c r="Q312" s="1">
        <v>-416.66666666666669</v>
      </c>
      <c r="R312">
        <v>16</v>
      </c>
      <c r="S312">
        <v>-150</v>
      </c>
    </row>
    <row r="313" spans="1:19">
      <c r="A313" t="s">
        <v>129</v>
      </c>
      <c r="B313" s="1">
        <v>-416.66666666666669</v>
      </c>
      <c r="C313">
        <v>116</v>
      </c>
      <c r="D313">
        <v>0</v>
      </c>
      <c r="E313">
        <v>40</v>
      </c>
      <c r="F313">
        <v>0</v>
      </c>
      <c r="G313">
        <v>0</v>
      </c>
      <c r="H313">
        <v>92</v>
      </c>
      <c r="I313">
        <v>4</v>
      </c>
      <c r="J313" s="1">
        <v>-416.66666666666669</v>
      </c>
      <c r="K313">
        <v>48</v>
      </c>
      <c r="L313">
        <v>22</v>
      </c>
      <c r="M313" s="1">
        <v>-416.66666666666669</v>
      </c>
      <c r="N313">
        <v>84</v>
      </c>
      <c r="O313">
        <v>63</v>
      </c>
      <c r="P313" s="12">
        <v>42</v>
      </c>
      <c r="Q313" s="1">
        <v>-416.66666666666669</v>
      </c>
      <c r="R313">
        <v>16</v>
      </c>
      <c r="S313">
        <v>-156</v>
      </c>
    </row>
    <row r="314" spans="1:19">
      <c r="A314" t="s">
        <v>129</v>
      </c>
      <c r="B314" s="1">
        <v>-416.66666666666669</v>
      </c>
      <c r="C314">
        <v>104</v>
      </c>
      <c r="D314">
        <v>4</v>
      </c>
      <c r="E314">
        <v>28</v>
      </c>
      <c r="F314">
        <v>0</v>
      </c>
      <c r="G314">
        <v>0</v>
      </c>
      <c r="H314">
        <v>108</v>
      </c>
      <c r="I314">
        <v>8</v>
      </c>
      <c r="J314" s="1">
        <v>-416.66666666666669</v>
      </c>
      <c r="K314">
        <v>43</v>
      </c>
      <c r="L314">
        <v>27</v>
      </c>
      <c r="M314" s="1">
        <v>-416.66666666666669</v>
      </c>
      <c r="N314">
        <v>80</v>
      </c>
      <c r="O314">
        <v>61</v>
      </c>
      <c r="P314" s="12">
        <v>42</v>
      </c>
      <c r="Q314" s="1">
        <v>-416.66666666666669</v>
      </c>
      <c r="R314">
        <v>16</v>
      </c>
      <c r="S314">
        <v>-164</v>
      </c>
    </row>
    <row r="315" spans="1:19">
      <c r="A315" t="s">
        <v>130</v>
      </c>
      <c r="B315" s="1">
        <v>-416.66666666666669</v>
      </c>
      <c r="C315">
        <v>80</v>
      </c>
      <c r="D315">
        <v>56</v>
      </c>
      <c r="E315">
        <v>12</v>
      </c>
      <c r="F315">
        <v>0</v>
      </c>
      <c r="G315">
        <v>0</v>
      </c>
      <c r="H315">
        <v>120</v>
      </c>
      <c r="I315">
        <v>16</v>
      </c>
      <c r="J315" s="1">
        <v>-416.66666666666669</v>
      </c>
      <c r="K315">
        <v>18</v>
      </c>
      <c r="L315">
        <v>48</v>
      </c>
      <c r="M315" s="1">
        <v>-416.66666666666669</v>
      </c>
      <c r="N315">
        <v>80</v>
      </c>
      <c r="O315">
        <v>61</v>
      </c>
      <c r="P315" s="12">
        <v>42</v>
      </c>
      <c r="Q315" s="1">
        <v>-416.66666666666669</v>
      </c>
      <c r="R315">
        <v>10</v>
      </c>
      <c r="S315">
        <v>-170</v>
      </c>
    </row>
    <row r="316" spans="1:19">
      <c r="A316" t="s">
        <v>130</v>
      </c>
      <c r="B316" s="1">
        <v>-416.66666666666669</v>
      </c>
      <c r="C316">
        <v>64</v>
      </c>
      <c r="D316">
        <v>132</v>
      </c>
      <c r="E316">
        <v>8</v>
      </c>
      <c r="F316">
        <v>0</v>
      </c>
      <c r="G316">
        <v>0</v>
      </c>
      <c r="H316">
        <v>136</v>
      </c>
      <c r="I316">
        <v>28</v>
      </c>
      <c r="J316" s="1">
        <v>-416.66666666666669</v>
      </c>
      <c r="K316">
        <v>27</v>
      </c>
      <c r="L316">
        <v>43</v>
      </c>
      <c r="M316" s="1">
        <v>-416.66666666666669</v>
      </c>
      <c r="N316">
        <v>70</v>
      </c>
      <c r="O316">
        <v>61</v>
      </c>
      <c r="P316" s="12">
        <v>52</v>
      </c>
      <c r="Q316" s="1">
        <v>-416.66666666666669</v>
      </c>
      <c r="R316">
        <v>6</v>
      </c>
      <c r="S316">
        <v>-176</v>
      </c>
    </row>
    <row r="317" spans="1:19">
      <c r="A317" t="s">
        <v>130</v>
      </c>
      <c r="B317" s="1">
        <v>-416.66666666666669</v>
      </c>
      <c r="C317">
        <v>56</v>
      </c>
      <c r="D317">
        <v>124</v>
      </c>
      <c r="E317">
        <v>4</v>
      </c>
      <c r="F317">
        <v>0</v>
      </c>
      <c r="G317">
        <v>0</v>
      </c>
      <c r="H317">
        <v>148</v>
      </c>
      <c r="I317">
        <v>28</v>
      </c>
      <c r="J317" s="1">
        <v>-416.66666666666669</v>
      </c>
      <c r="K317">
        <v>29</v>
      </c>
      <c r="L317">
        <v>41</v>
      </c>
      <c r="M317" s="1">
        <v>-416.66666666666669</v>
      </c>
      <c r="N317">
        <v>66</v>
      </c>
      <c r="O317">
        <v>61</v>
      </c>
      <c r="P317" s="12">
        <v>56</v>
      </c>
      <c r="Q317" s="1">
        <v>-416.66666666666669</v>
      </c>
      <c r="R317">
        <v>2</v>
      </c>
      <c r="S317">
        <v>-180</v>
      </c>
    </row>
    <row r="318" spans="1:19">
      <c r="A318" t="s">
        <v>130</v>
      </c>
      <c r="B318" s="1">
        <v>-416.66666666666669</v>
      </c>
      <c r="C318">
        <v>52</v>
      </c>
      <c r="D318">
        <v>120</v>
      </c>
      <c r="E318">
        <v>0</v>
      </c>
      <c r="F318">
        <v>0</v>
      </c>
      <c r="G318">
        <v>0</v>
      </c>
      <c r="H318">
        <v>156</v>
      </c>
      <c r="I318">
        <v>40</v>
      </c>
      <c r="J318" s="1">
        <v>-416.66666666666669</v>
      </c>
      <c r="K318">
        <v>32</v>
      </c>
      <c r="L318">
        <v>38</v>
      </c>
      <c r="M318" s="1">
        <v>-416.66666666666669</v>
      </c>
      <c r="N318">
        <v>62</v>
      </c>
      <c r="O318" s="12">
        <v>60</v>
      </c>
      <c r="P318" s="12">
        <v>58</v>
      </c>
      <c r="Q318" s="1">
        <v>-416.66666666666669</v>
      </c>
      <c r="R318">
        <v>0</v>
      </c>
      <c r="S318">
        <v>178</v>
      </c>
    </row>
    <row r="319" spans="1:19">
      <c r="A319" t="s">
        <v>130</v>
      </c>
      <c r="B319" s="1">
        <v>-416.66666666666669</v>
      </c>
      <c r="C319">
        <v>52</v>
      </c>
      <c r="D319">
        <v>116</v>
      </c>
      <c r="E319">
        <v>0</v>
      </c>
      <c r="F319">
        <v>4</v>
      </c>
      <c r="G319">
        <v>0</v>
      </c>
      <c r="H319">
        <v>156</v>
      </c>
      <c r="I319">
        <v>40</v>
      </c>
      <c r="J319" s="1">
        <v>-416.66666666666669</v>
      </c>
      <c r="K319">
        <v>28</v>
      </c>
      <c r="L319">
        <v>28</v>
      </c>
      <c r="M319" s="1">
        <v>-416.66666666666669</v>
      </c>
      <c r="N319">
        <v>62</v>
      </c>
      <c r="O319" s="12">
        <v>61</v>
      </c>
      <c r="P319" s="12">
        <v>60</v>
      </c>
      <c r="Q319" s="1">
        <v>-416.66666666666669</v>
      </c>
      <c r="R319">
        <v>0</v>
      </c>
      <c r="S319">
        <v>178</v>
      </c>
    </row>
    <row r="320" spans="1:19">
      <c r="A320" t="s">
        <v>58</v>
      </c>
      <c r="B320" s="1">
        <v>-416.66666666666669</v>
      </c>
      <c r="C320">
        <v>44</v>
      </c>
      <c r="D320">
        <v>116</v>
      </c>
      <c r="E320">
        <v>4</v>
      </c>
      <c r="F320">
        <v>4</v>
      </c>
      <c r="G320">
        <v>0</v>
      </c>
      <c r="H320">
        <v>156</v>
      </c>
      <c r="I320">
        <v>36</v>
      </c>
      <c r="J320" s="1">
        <v>-416.66666666666669</v>
      </c>
      <c r="K320">
        <v>68</v>
      </c>
      <c r="L320">
        <v>72</v>
      </c>
      <c r="M320" s="1">
        <v>-416.66666666666669</v>
      </c>
      <c r="N320">
        <v>64</v>
      </c>
      <c r="O320" s="12">
        <v>64</v>
      </c>
      <c r="P320" s="12">
        <v>64</v>
      </c>
      <c r="Q320" s="1">
        <v>-416.66666666666669</v>
      </c>
      <c r="R320">
        <v>0</v>
      </c>
      <c r="S320">
        <v>178</v>
      </c>
    </row>
    <row r="321" spans="1:19">
      <c r="A321" t="s">
        <v>58</v>
      </c>
      <c r="B321" s="1">
        <v>-416.66666666666669</v>
      </c>
      <c r="C321">
        <v>44</v>
      </c>
      <c r="D321">
        <v>116</v>
      </c>
      <c r="E321">
        <v>0</v>
      </c>
      <c r="F321">
        <v>4</v>
      </c>
      <c r="G321">
        <v>0</v>
      </c>
      <c r="H321">
        <v>156</v>
      </c>
      <c r="I321">
        <v>32</v>
      </c>
      <c r="J321" s="1">
        <v>-416.66666666666669</v>
      </c>
      <c r="K321">
        <v>70</v>
      </c>
      <c r="L321">
        <v>70</v>
      </c>
      <c r="M321" s="1">
        <v>-416.66666666666669</v>
      </c>
      <c r="N321">
        <v>72</v>
      </c>
      <c r="O321">
        <v>72</v>
      </c>
      <c r="P321" s="12">
        <v>72</v>
      </c>
      <c r="Q321" s="1">
        <v>-416.66666666666669</v>
      </c>
      <c r="R321">
        <v>0</v>
      </c>
      <c r="S321">
        <v>178</v>
      </c>
    </row>
    <row r="322" spans="1:19">
      <c r="A322" t="s">
        <v>58</v>
      </c>
      <c r="B322" s="1">
        <v>-416.66666666666669</v>
      </c>
      <c r="C322">
        <v>52</v>
      </c>
      <c r="D322">
        <v>120</v>
      </c>
      <c r="E322">
        <v>0</v>
      </c>
      <c r="F322">
        <v>4</v>
      </c>
      <c r="G322">
        <v>0</v>
      </c>
      <c r="H322">
        <v>156</v>
      </c>
      <c r="I322">
        <v>40</v>
      </c>
      <c r="J322" s="1">
        <v>-416.66666666666669</v>
      </c>
      <c r="K322">
        <v>8</v>
      </c>
      <c r="L322">
        <v>10</v>
      </c>
      <c r="M322" s="1">
        <v>-416.66666666666669</v>
      </c>
      <c r="N322">
        <v>92</v>
      </c>
      <c r="O322">
        <v>93</v>
      </c>
      <c r="P322" s="12">
        <v>94</v>
      </c>
      <c r="Q322" s="1">
        <v>-416.66666666666669</v>
      </c>
      <c r="R322">
        <v>0</v>
      </c>
      <c r="S322">
        <v>178</v>
      </c>
    </row>
    <row r="323" spans="1:19">
      <c r="A323" t="s">
        <v>58</v>
      </c>
      <c r="B323" s="1">
        <v>-416.66666666666669</v>
      </c>
      <c r="C323">
        <v>48</v>
      </c>
      <c r="D323">
        <v>120</v>
      </c>
      <c r="E323">
        <v>0</v>
      </c>
      <c r="F323">
        <v>8</v>
      </c>
      <c r="G323">
        <v>0</v>
      </c>
      <c r="H323">
        <v>156</v>
      </c>
      <c r="I323">
        <v>40</v>
      </c>
      <c r="J323" s="1">
        <v>-416.66666666666669</v>
      </c>
      <c r="K323">
        <v>69</v>
      </c>
      <c r="L323">
        <v>71</v>
      </c>
      <c r="M323" s="1">
        <v>-416.66666666666669</v>
      </c>
      <c r="N323">
        <v>70</v>
      </c>
      <c r="O323">
        <v>70</v>
      </c>
      <c r="P323" s="12">
        <v>70</v>
      </c>
      <c r="Q323" s="1">
        <v>-416.66666666666669</v>
      </c>
      <c r="R323">
        <v>0</v>
      </c>
      <c r="S323">
        <v>178</v>
      </c>
    </row>
    <row r="324" spans="1:19">
      <c r="A324" t="s">
        <v>58</v>
      </c>
      <c r="B324" s="1">
        <v>-416.66666666666669</v>
      </c>
      <c r="C324">
        <v>48</v>
      </c>
      <c r="D324">
        <v>124</v>
      </c>
      <c r="E324">
        <v>4</v>
      </c>
      <c r="F324">
        <v>8</v>
      </c>
      <c r="G324">
        <v>4</v>
      </c>
      <c r="H324">
        <v>152</v>
      </c>
      <c r="I324">
        <v>48</v>
      </c>
      <c r="J324" s="1">
        <v>-416.66666666666669</v>
      </c>
      <c r="K324">
        <v>63</v>
      </c>
      <c r="L324">
        <v>57</v>
      </c>
      <c r="M324" s="1">
        <v>-416.66666666666669</v>
      </c>
      <c r="N324">
        <v>84</v>
      </c>
      <c r="O324">
        <v>83</v>
      </c>
      <c r="P324" s="12">
        <v>82</v>
      </c>
      <c r="Q324" s="1">
        <v>-416.66666666666669</v>
      </c>
      <c r="R324">
        <v>0</v>
      </c>
      <c r="S324">
        <v>178</v>
      </c>
    </row>
    <row r="325" spans="1:19">
      <c r="A325" t="s">
        <v>58</v>
      </c>
      <c r="B325" s="1">
        <v>-416.66666666666669</v>
      </c>
      <c r="C325">
        <v>24</v>
      </c>
      <c r="D325">
        <v>124</v>
      </c>
      <c r="E325">
        <v>4</v>
      </c>
      <c r="F325">
        <v>8</v>
      </c>
      <c r="G325">
        <v>4</v>
      </c>
      <c r="H325">
        <v>148</v>
      </c>
      <c r="I325">
        <v>40</v>
      </c>
      <c r="J325" s="1">
        <v>-416.66666666666669</v>
      </c>
      <c r="K325">
        <v>50</v>
      </c>
      <c r="L325">
        <v>50</v>
      </c>
      <c r="M325" s="1">
        <v>-416.66666666666669</v>
      </c>
      <c r="N325">
        <v>84</v>
      </c>
      <c r="O325">
        <v>84</v>
      </c>
      <c r="P325" s="12">
        <v>84</v>
      </c>
      <c r="Q325" s="1">
        <v>-416.66666666666669</v>
      </c>
      <c r="R325">
        <v>0</v>
      </c>
      <c r="S325">
        <v>178</v>
      </c>
    </row>
    <row r="326" spans="1:19">
      <c r="A326" t="s">
        <v>235</v>
      </c>
      <c r="B326" s="1">
        <v>-416.66666666666669</v>
      </c>
      <c r="C326">
        <v>4</v>
      </c>
      <c r="D326">
        <v>128</v>
      </c>
      <c r="E326">
        <v>4</v>
      </c>
      <c r="F326">
        <v>12</v>
      </c>
      <c r="G326">
        <v>8</v>
      </c>
      <c r="H326">
        <v>144</v>
      </c>
      <c r="I326">
        <v>36</v>
      </c>
      <c r="J326" s="1">
        <v>-416.66666666666669</v>
      </c>
      <c r="K326">
        <v>31</v>
      </c>
      <c r="L326">
        <v>35</v>
      </c>
      <c r="M326" s="1">
        <v>-416.66666666666669</v>
      </c>
      <c r="N326">
        <v>80</v>
      </c>
      <c r="O326" s="12">
        <v>79</v>
      </c>
      <c r="P326" s="12">
        <v>78</v>
      </c>
      <c r="Q326" s="1">
        <v>-416.66666666666669</v>
      </c>
      <c r="R326">
        <v>0</v>
      </c>
      <c r="S326">
        <v>178</v>
      </c>
    </row>
    <row r="327" spans="1:19">
      <c r="A327" t="s">
        <v>235</v>
      </c>
      <c r="B327" s="1">
        <v>-416.66666666666669</v>
      </c>
      <c r="C327">
        <v>0</v>
      </c>
      <c r="D327">
        <v>136</v>
      </c>
      <c r="E327">
        <v>4</v>
      </c>
      <c r="F327">
        <v>16</v>
      </c>
      <c r="G327">
        <v>12</v>
      </c>
      <c r="H327">
        <v>140</v>
      </c>
      <c r="I327">
        <v>36</v>
      </c>
      <c r="J327" s="1">
        <v>-416.66666666666669</v>
      </c>
      <c r="K327">
        <v>18</v>
      </c>
      <c r="L327">
        <v>48</v>
      </c>
      <c r="M327" s="1">
        <v>-416.66666666666669</v>
      </c>
      <c r="N327">
        <v>74</v>
      </c>
      <c r="O327" s="12">
        <v>76</v>
      </c>
      <c r="P327" s="12">
        <v>78</v>
      </c>
      <c r="Q327" s="1">
        <v>-416.66666666666669</v>
      </c>
      <c r="R327">
        <v>-4</v>
      </c>
      <c r="S327">
        <v>178</v>
      </c>
    </row>
    <row r="328" spans="1:19">
      <c r="A328" t="s">
        <v>235</v>
      </c>
      <c r="B328" s="1">
        <v>-416.66666666666669</v>
      </c>
      <c r="C328">
        <v>0</v>
      </c>
      <c r="D328">
        <v>144</v>
      </c>
      <c r="E328">
        <v>4</v>
      </c>
      <c r="F328">
        <v>20</v>
      </c>
      <c r="G328">
        <v>12</v>
      </c>
      <c r="H328">
        <v>132</v>
      </c>
      <c r="I328">
        <v>28</v>
      </c>
      <c r="J328" s="1">
        <v>-416.66666666666669</v>
      </c>
      <c r="K328">
        <v>18</v>
      </c>
      <c r="L328">
        <v>48</v>
      </c>
      <c r="M328" s="1">
        <v>-416.66666666666669</v>
      </c>
      <c r="N328">
        <v>66</v>
      </c>
      <c r="O328">
        <v>74</v>
      </c>
      <c r="P328" s="12">
        <v>82</v>
      </c>
      <c r="Q328" s="1">
        <v>-416.66666666666669</v>
      </c>
      <c r="R328">
        <v>-8</v>
      </c>
      <c r="S328">
        <v>-180</v>
      </c>
    </row>
    <row r="329" spans="1:19">
      <c r="A329" t="s">
        <v>235</v>
      </c>
      <c r="B329" s="1">
        <v>-416.66666666666669</v>
      </c>
      <c r="C329">
        <v>0</v>
      </c>
      <c r="D329">
        <v>144</v>
      </c>
      <c r="E329">
        <v>8</v>
      </c>
      <c r="F329">
        <v>20</v>
      </c>
      <c r="G329">
        <v>20</v>
      </c>
      <c r="H329">
        <v>108</v>
      </c>
      <c r="I329">
        <v>20</v>
      </c>
      <c r="J329" s="1">
        <v>-416.66666666666669</v>
      </c>
      <c r="K329">
        <v>18</v>
      </c>
      <c r="L329">
        <v>48</v>
      </c>
      <c r="M329" s="1">
        <v>-416.66666666666669</v>
      </c>
      <c r="N329">
        <v>62</v>
      </c>
      <c r="O329">
        <v>74</v>
      </c>
      <c r="P329" s="12">
        <v>86</v>
      </c>
      <c r="Q329" s="1">
        <v>-416.66666666666669</v>
      </c>
      <c r="R329">
        <v>-12</v>
      </c>
      <c r="S329">
        <v>-176</v>
      </c>
    </row>
    <row r="330" spans="1:19">
      <c r="A330" t="s">
        <v>235</v>
      </c>
      <c r="B330" s="1">
        <v>-416.66666666666669</v>
      </c>
      <c r="C330">
        <v>0</v>
      </c>
      <c r="D330">
        <v>124</v>
      </c>
      <c r="E330">
        <v>4</v>
      </c>
      <c r="F330">
        <v>16</v>
      </c>
      <c r="G330">
        <v>32</v>
      </c>
      <c r="H330">
        <v>88</v>
      </c>
      <c r="I330">
        <v>16</v>
      </c>
      <c r="J330" s="1">
        <v>-416.66666666666669</v>
      </c>
      <c r="K330">
        <v>18</v>
      </c>
      <c r="L330">
        <v>48</v>
      </c>
      <c r="M330" s="1">
        <v>-416.66666666666669</v>
      </c>
      <c r="N330">
        <v>42</v>
      </c>
      <c r="O330">
        <v>66</v>
      </c>
      <c r="P330" s="12">
        <v>90</v>
      </c>
      <c r="Q330" s="1">
        <v>-416.66666666666669</v>
      </c>
      <c r="R330">
        <v>-14</v>
      </c>
      <c r="S330">
        <v>-172</v>
      </c>
    </row>
    <row r="331" spans="1:19">
      <c r="A331" t="s">
        <v>235</v>
      </c>
      <c r="B331" s="1">
        <v>-416.66666666666669</v>
      </c>
      <c r="C331">
        <v>0</v>
      </c>
      <c r="D331">
        <v>84</v>
      </c>
      <c r="E331">
        <v>4</v>
      </c>
      <c r="F331">
        <v>16</v>
      </c>
      <c r="G331">
        <v>40</v>
      </c>
      <c r="H331">
        <v>68</v>
      </c>
      <c r="I331">
        <v>20</v>
      </c>
      <c r="J331" s="1">
        <v>-416.66666666666669</v>
      </c>
      <c r="K331">
        <v>18</v>
      </c>
      <c r="L331">
        <v>48</v>
      </c>
      <c r="M331" s="1">
        <v>-416.66666666666669</v>
      </c>
      <c r="N331">
        <v>54</v>
      </c>
      <c r="O331">
        <v>72</v>
      </c>
      <c r="P331" s="12">
        <v>90</v>
      </c>
      <c r="Q331" s="1">
        <v>-416.66666666666669</v>
      </c>
      <c r="R331">
        <v>-16</v>
      </c>
      <c r="S331">
        <v>-168</v>
      </c>
    </row>
    <row r="332" spans="1:19">
      <c r="A332" t="s">
        <v>235</v>
      </c>
      <c r="B332" s="1">
        <v>-416.66666666666669</v>
      </c>
      <c r="C332">
        <v>0</v>
      </c>
      <c r="D332">
        <v>44</v>
      </c>
      <c r="E332">
        <v>4</v>
      </c>
      <c r="F332">
        <v>16</v>
      </c>
      <c r="G332">
        <v>36</v>
      </c>
      <c r="H332">
        <v>44</v>
      </c>
      <c r="I332">
        <v>28</v>
      </c>
      <c r="J332" s="1">
        <v>-416.66666666666669</v>
      </c>
      <c r="K332">
        <v>18</v>
      </c>
      <c r="L332">
        <v>48</v>
      </c>
      <c r="M332" s="1">
        <v>-416.66666666666669</v>
      </c>
      <c r="N332">
        <v>50</v>
      </c>
      <c r="O332">
        <v>69</v>
      </c>
      <c r="P332" s="12">
        <v>88</v>
      </c>
      <c r="Q332" s="1">
        <v>-416.66666666666669</v>
      </c>
      <c r="R332">
        <v>-16</v>
      </c>
      <c r="S332">
        <v>-162</v>
      </c>
    </row>
    <row r="333" spans="1:19">
      <c r="A333" t="s">
        <v>235</v>
      </c>
      <c r="B333" s="1">
        <v>-416.66666666666669</v>
      </c>
      <c r="C333">
        <v>0</v>
      </c>
      <c r="D333">
        <v>36</v>
      </c>
      <c r="E333">
        <v>4</v>
      </c>
      <c r="F333">
        <v>20</v>
      </c>
      <c r="G333">
        <v>36</v>
      </c>
      <c r="H333">
        <v>28</v>
      </c>
      <c r="I333">
        <v>32</v>
      </c>
      <c r="J333" s="1">
        <v>-416.66666666666669</v>
      </c>
      <c r="K333">
        <v>22</v>
      </c>
      <c r="L333">
        <v>44</v>
      </c>
      <c r="M333" s="1">
        <v>-416.66666666666669</v>
      </c>
      <c r="N333">
        <v>48</v>
      </c>
      <c r="O333">
        <v>69</v>
      </c>
      <c r="P333" s="12">
        <v>90</v>
      </c>
      <c r="Q333" s="1">
        <v>-416.66666666666669</v>
      </c>
      <c r="R333">
        <v>-16</v>
      </c>
      <c r="S333">
        <v>-156</v>
      </c>
    </row>
    <row r="334" spans="1:19">
      <c r="A334" t="s">
        <v>235</v>
      </c>
      <c r="B334" s="1">
        <v>-416.66666666666669</v>
      </c>
      <c r="C334">
        <v>0</v>
      </c>
      <c r="D334">
        <v>40</v>
      </c>
      <c r="E334">
        <v>0</v>
      </c>
      <c r="F334">
        <v>16</v>
      </c>
      <c r="G334">
        <v>40</v>
      </c>
      <c r="H334">
        <v>16</v>
      </c>
      <c r="I334">
        <v>52</v>
      </c>
      <c r="J334" s="1">
        <v>-416.66666666666669</v>
      </c>
      <c r="K334">
        <v>24</v>
      </c>
      <c r="L334">
        <v>42</v>
      </c>
      <c r="M334" s="1">
        <v>-416.66666666666669</v>
      </c>
      <c r="N334">
        <v>46</v>
      </c>
      <c r="O334">
        <v>67</v>
      </c>
      <c r="P334" s="12">
        <v>88</v>
      </c>
      <c r="Q334" s="1">
        <v>-416.66666666666669</v>
      </c>
      <c r="R334">
        <v>-14</v>
      </c>
      <c r="S334">
        <v>-148</v>
      </c>
    </row>
    <row r="335" spans="1:19">
      <c r="A335" t="s">
        <v>235</v>
      </c>
      <c r="B335" s="1">
        <v>-416.66666666666669</v>
      </c>
      <c r="C335">
        <v>0</v>
      </c>
      <c r="D335">
        <v>48</v>
      </c>
      <c r="E335">
        <v>0</v>
      </c>
      <c r="F335">
        <v>12</v>
      </c>
      <c r="G335">
        <v>44</v>
      </c>
      <c r="H335">
        <v>20</v>
      </c>
      <c r="I335">
        <v>96</v>
      </c>
      <c r="J335" s="1">
        <v>-416.66666666666669</v>
      </c>
      <c r="K335">
        <v>27</v>
      </c>
      <c r="L335">
        <v>39</v>
      </c>
      <c r="M335" s="1">
        <v>-416.66666666666669</v>
      </c>
      <c r="N335">
        <v>48</v>
      </c>
      <c r="O335">
        <v>66</v>
      </c>
      <c r="P335" s="12">
        <v>84</v>
      </c>
      <c r="Q335" s="1">
        <v>-416.66666666666669</v>
      </c>
      <c r="R335">
        <v>-14</v>
      </c>
      <c r="S335">
        <v>-142</v>
      </c>
    </row>
    <row r="336" spans="1:19">
      <c r="A336" t="s">
        <v>235</v>
      </c>
      <c r="B336" s="1">
        <v>-416.66666666666669</v>
      </c>
      <c r="C336">
        <v>4</v>
      </c>
      <c r="D336">
        <v>52</v>
      </c>
      <c r="E336">
        <v>0</v>
      </c>
      <c r="F336">
        <v>12</v>
      </c>
      <c r="G336">
        <v>48</v>
      </c>
      <c r="H336">
        <v>24</v>
      </c>
      <c r="I336">
        <v>132</v>
      </c>
      <c r="J336" s="1">
        <v>-416.66666666666669</v>
      </c>
      <c r="K336">
        <v>19</v>
      </c>
      <c r="L336">
        <v>47</v>
      </c>
      <c r="M336" s="1">
        <v>-416.66666666666669</v>
      </c>
      <c r="N336">
        <v>46</v>
      </c>
      <c r="O336">
        <v>65</v>
      </c>
      <c r="P336" s="12">
        <v>84</v>
      </c>
      <c r="Q336" s="1">
        <v>-416.66666666666669</v>
      </c>
      <c r="R336">
        <v>-14</v>
      </c>
      <c r="S336">
        <v>-136</v>
      </c>
    </row>
    <row r="337" spans="1:19">
      <c r="A337" t="s">
        <v>235</v>
      </c>
      <c r="B337" s="1">
        <v>-416.66666666666669</v>
      </c>
      <c r="C337">
        <v>0</v>
      </c>
      <c r="D337">
        <v>60</v>
      </c>
      <c r="E337">
        <v>0</v>
      </c>
      <c r="F337">
        <v>8</v>
      </c>
      <c r="G337">
        <v>44</v>
      </c>
      <c r="H337">
        <v>36</v>
      </c>
      <c r="I337">
        <v>108</v>
      </c>
      <c r="J337" s="1">
        <v>-416.66666666666669</v>
      </c>
      <c r="K337">
        <v>23</v>
      </c>
      <c r="L337">
        <v>43</v>
      </c>
      <c r="M337" s="1">
        <v>-416.66666666666669</v>
      </c>
      <c r="N337">
        <v>44</v>
      </c>
      <c r="O337">
        <v>62</v>
      </c>
      <c r="P337" s="12">
        <v>80</v>
      </c>
      <c r="Q337" s="1">
        <v>-416.66666666666669</v>
      </c>
      <c r="R337">
        <v>-14</v>
      </c>
      <c r="S337">
        <v>-130</v>
      </c>
    </row>
    <row r="338" spans="1:19">
      <c r="A338" t="s">
        <v>235</v>
      </c>
      <c r="B338" s="1">
        <v>-416.66666666666669</v>
      </c>
      <c r="C338">
        <v>0</v>
      </c>
      <c r="D338">
        <v>68</v>
      </c>
      <c r="E338">
        <v>0</v>
      </c>
      <c r="F338">
        <v>4</v>
      </c>
      <c r="G338">
        <v>36</v>
      </c>
      <c r="H338">
        <v>56</v>
      </c>
      <c r="I338">
        <v>92</v>
      </c>
      <c r="J338" s="1">
        <v>-416.66666666666669</v>
      </c>
      <c r="K338">
        <v>25</v>
      </c>
      <c r="L338">
        <v>41</v>
      </c>
      <c r="M338" s="1">
        <v>-416.66666666666669</v>
      </c>
      <c r="N338">
        <v>44</v>
      </c>
      <c r="O338">
        <v>63</v>
      </c>
      <c r="P338" s="12">
        <v>82</v>
      </c>
      <c r="Q338" s="1">
        <v>-416.66666666666669</v>
      </c>
      <c r="R338">
        <v>-14</v>
      </c>
      <c r="S338">
        <v>-124</v>
      </c>
    </row>
    <row r="339" spans="1:19">
      <c r="A339" t="s">
        <v>235</v>
      </c>
      <c r="B339" s="1">
        <v>-416.66666666666669</v>
      </c>
      <c r="C339">
        <v>0</v>
      </c>
      <c r="D339">
        <v>76</v>
      </c>
      <c r="E339">
        <v>0</v>
      </c>
      <c r="F339">
        <v>0</v>
      </c>
      <c r="G339">
        <v>28</v>
      </c>
      <c r="H339">
        <v>72</v>
      </c>
      <c r="I339">
        <v>96</v>
      </c>
      <c r="J339" s="1">
        <v>-416.66666666666669</v>
      </c>
      <c r="K339">
        <v>23</v>
      </c>
      <c r="L339">
        <v>43</v>
      </c>
      <c r="M339" s="1">
        <v>-416.66666666666669</v>
      </c>
      <c r="N339">
        <v>46</v>
      </c>
      <c r="O339">
        <v>63</v>
      </c>
      <c r="P339" s="12">
        <v>80</v>
      </c>
      <c r="Q339" s="1">
        <v>-416.66666666666669</v>
      </c>
      <c r="R339">
        <v>-14</v>
      </c>
      <c r="S339">
        <v>-118</v>
      </c>
    </row>
    <row r="340" spans="1:19">
      <c r="A340" t="s">
        <v>235</v>
      </c>
      <c r="B340" s="1">
        <v>-416.66666666666669</v>
      </c>
      <c r="C340">
        <v>8</v>
      </c>
      <c r="D340">
        <v>84</v>
      </c>
      <c r="E340">
        <v>0</v>
      </c>
      <c r="F340">
        <v>0</v>
      </c>
      <c r="G340">
        <v>20</v>
      </c>
      <c r="H340">
        <v>92</v>
      </c>
      <c r="I340">
        <v>84</v>
      </c>
      <c r="J340" s="1">
        <v>-416.66666666666669</v>
      </c>
      <c r="K340">
        <v>22</v>
      </c>
      <c r="L340">
        <v>44</v>
      </c>
      <c r="M340" s="1">
        <v>-416.66666666666669</v>
      </c>
      <c r="N340">
        <v>44</v>
      </c>
      <c r="O340">
        <v>61</v>
      </c>
      <c r="P340" s="12">
        <v>78</v>
      </c>
      <c r="Q340" s="1">
        <v>-416.66666666666669</v>
      </c>
      <c r="R340">
        <v>-14</v>
      </c>
      <c r="S340">
        <v>-114</v>
      </c>
    </row>
    <row r="341" spans="1:19">
      <c r="A341" t="s">
        <v>235</v>
      </c>
      <c r="B341" s="1">
        <v>-416.66666666666669</v>
      </c>
      <c r="C341">
        <v>16</v>
      </c>
      <c r="D341">
        <v>92</v>
      </c>
      <c r="E341">
        <v>0</v>
      </c>
      <c r="F341">
        <v>0</v>
      </c>
      <c r="G341">
        <v>12</v>
      </c>
      <c r="H341">
        <v>108</v>
      </c>
      <c r="I341">
        <v>72</v>
      </c>
      <c r="J341" s="1">
        <v>-416.66666666666669</v>
      </c>
      <c r="K341">
        <v>25</v>
      </c>
      <c r="L341">
        <v>41</v>
      </c>
      <c r="M341" s="1">
        <v>-416.66666666666669</v>
      </c>
      <c r="N341">
        <v>44</v>
      </c>
      <c r="O341">
        <v>61</v>
      </c>
      <c r="P341" s="12">
        <v>78</v>
      </c>
      <c r="Q341" s="1">
        <v>-416.66666666666669</v>
      </c>
      <c r="R341">
        <v>-12</v>
      </c>
      <c r="S341">
        <v>-108</v>
      </c>
    </row>
    <row r="342" spans="1:19">
      <c r="A342" t="s">
        <v>235</v>
      </c>
      <c r="B342" s="1">
        <v>-416.66666666666669</v>
      </c>
      <c r="C342">
        <v>28</v>
      </c>
      <c r="D342">
        <v>104</v>
      </c>
      <c r="E342">
        <v>0</v>
      </c>
      <c r="F342">
        <v>0</v>
      </c>
      <c r="G342">
        <v>4</v>
      </c>
      <c r="H342">
        <v>160</v>
      </c>
      <c r="I342">
        <v>60</v>
      </c>
      <c r="J342" s="1">
        <v>-416.66666666666669</v>
      </c>
      <c r="K342">
        <v>19</v>
      </c>
      <c r="L342">
        <v>47</v>
      </c>
      <c r="M342" s="1">
        <v>-416.66666666666669</v>
      </c>
      <c r="N342">
        <v>44</v>
      </c>
      <c r="O342">
        <v>61</v>
      </c>
      <c r="P342" s="12">
        <v>78</v>
      </c>
      <c r="Q342" s="1">
        <v>-416.66666666666669</v>
      </c>
      <c r="R342">
        <v>-12</v>
      </c>
      <c r="S342">
        <v>-102</v>
      </c>
    </row>
    <row r="343" spans="1:19">
      <c r="A343" t="s">
        <v>51</v>
      </c>
      <c r="B343" s="1">
        <v>-416.66666666666669</v>
      </c>
      <c r="C343">
        <v>44</v>
      </c>
      <c r="D343">
        <v>116</v>
      </c>
      <c r="E343">
        <v>0</v>
      </c>
      <c r="F343">
        <v>0</v>
      </c>
      <c r="G343">
        <v>4</v>
      </c>
      <c r="H343">
        <v>148</v>
      </c>
      <c r="I343">
        <v>40</v>
      </c>
      <c r="J343" s="1">
        <v>-416.66666666666669</v>
      </c>
      <c r="K343">
        <v>42</v>
      </c>
      <c r="L343">
        <v>28</v>
      </c>
      <c r="M343" s="1">
        <v>-416.66666666666669</v>
      </c>
      <c r="N343">
        <v>44</v>
      </c>
      <c r="O343">
        <v>59</v>
      </c>
      <c r="P343" s="12">
        <v>74</v>
      </c>
      <c r="Q343" s="1">
        <v>-416.66666666666669</v>
      </c>
      <c r="R343">
        <v>-8</v>
      </c>
      <c r="S343">
        <v>-96</v>
      </c>
    </row>
    <row r="344" spans="1:19">
      <c r="A344" t="s">
        <v>51</v>
      </c>
      <c r="B344" s="1">
        <v>-416.66666666666669</v>
      </c>
      <c r="C344">
        <v>64</v>
      </c>
      <c r="D344">
        <v>144</v>
      </c>
      <c r="E344">
        <v>4</v>
      </c>
      <c r="F344">
        <v>0</v>
      </c>
      <c r="G344">
        <v>0</v>
      </c>
      <c r="H344">
        <v>120</v>
      </c>
      <c r="I344">
        <v>36</v>
      </c>
      <c r="J344" s="1">
        <v>-416.66666666666669</v>
      </c>
      <c r="K344">
        <v>57</v>
      </c>
      <c r="L344">
        <v>13</v>
      </c>
      <c r="M344" s="1">
        <v>-416.66666666666669</v>
      </c>
      <c r="N344">
        <v>72</v>
      </c>
      <c r="O344">
        <v>67</v>
      </c>
      <c r="P344" s="12">
        <v>62</v>
      </c>
      <c r="Q344" s="1">
        <v>-416.66666666666669</v>
      </c>
      <c r="R344">
        <v>-2</v>
      </c>
      <c r="S344">
        <v>-92</v>
      </c>
    </row>
    <row r="345" spans="1:19">
      <c r="A345" t="s">
        <v>51</v>
      </c>
      <c r="B345" s="1">
        <v>-416.66666666666669</v>
      </c>
      <c r="C345">
        <v>72</v>
      </c>
      <c r="D345">
        <v>156</v>
      </c>
      <c r="E345">
        <v>4</v>
      </c>
      <c r="F345">
        <v>4</v>
      </c>
      <c r="G345">
        <v>0</v>
      </c>
      <c r="H345">
        <v>108</v>
      </c>
      <c r="I345">
        <v>36</v>
      </c>
      <c r="J345" s="1">
        <v>-416.66666666666669</v>
      </c>
      <c r="K345">
        <v>49</v>
      </c>
      <c r="L345">
        <v>21</v>
      </c>
      <c r="M345" s="1">
        <v>-416.66666666666669</v>
      </c>
      <c r="N345">
        <v>74</v>
      </c>
      <c r="O345">
        <v>66</v>
      </c>
      <c r="P345" s="12">
        <v>58</v>
      </c>
      <c r="Q345" s="1">
        <v>-416.66666666666669</v>
      </c>
      <c r="R345">
        <v>0</v>
      </c>
      <c r="S345">
        <v>-88</v>
      </c>
    </row>
    <row r="346" spans="1:19">
      <c r="A346" t="s">
        <v>51</v>
      </c>
      <c r="B346" s="1">
        <v>-416.66666666666669</v>
      </c>
      <c r="C346">
        <v>76</v>
      </c>
      <c r="D346">
        <v>160</v>
      </c>
      <c r="E346">
        <v>4</v>
      </c>
      <c r="F346">
        <v>4</v>
      </c>
      <c r="G346">
        <v>0</v>
      </c>
      <c r="H346">
        <v>108</v>
      </c>
      <c r="I346">
        <v>32</v>
      </c>
      <c r="J346" s="1">
        <v>-416.66666666666669</v>
      </c>
      <c r="K346">
        <v>30</v>
      </c>
      <c r="L346">
        <v>30</v>
      </c>
      <c r="M346" s="1">
        <v>-416.66666666666669</v>
      </c>
      <c r="N346">
        <v>56</v>
      </c>
      <c r="O346">
        <v>56</v>
      </c>
      <c r="P346" s="12">
        <v>56</v>
      </c>
      <c r="Q346" s="1">
        <v>-416.66666666666669</v>
      </c>
      <c r="R346">
        <v>0</v>
      </c>
      <c r="S346">
        <v>-88</v>
      </c>
    </row>
    <row r="347" spans="1:19">
      <c r="A347" t="s">
        <v>53</v>
      </c>
      <c r="B347" s="1">
        <v>-416.66666666666669</v>
      </c>
      <c r="C347">
        <v>76</v>
      </c>
      <c r="D347">
        <v>156</v>
      </c>
      <c r="E347">
        <v>4</v>
      </c>
      <c r="F347">
        <v>4</v>
      </c>
      <c r="G347">
        <v>0</v>
      </c>
      <c r="H347">
        <v>108</v>
      </c>
      <c r="I347">
        <v>24</v>
      </c>
      <c r="J347" s="1">
        <v>-416.66666666666669</v>
      </c>
      <c r="K347">
        <v>69</v>
      </c>
      <c r="L347">
        <v>71</v>
      </c>
      <c r="M347" s="1">
        <v>-416.66666666666669</v>
      </c>
      <c r="N347">
        <v>60</v>
      </c>
      <c r="O347">
        <v>60</v>
      </c>
      <c r="P347" s="12">
        <v>60</v>
      </c>
      <c r="Q347" s="1">
        <v>-416.66666666666669</v>
      </c>
      <c r="R347">
        <v>0</v>
      </c>
      <c r="S347">
        <v>-88</v>
      </c>
    </row>
    <row r="348" spans="1:19">
      <c r="A348" t="s">
        <v>53</v>
      </c>
      <c r="B348" s="1">
        <v>-416.66666666666669</v>
      </c>
      <c r="C348">
        <v>68</v>
      </c>
      <c r="D348">
        <v>156</v>
      </c>
      <c r="E348">
        <v>0</v>
      </c>
      <c r="F348">
        <v>4</v>
      </c>
      <c r="G348">
        <v>4</v>
      </c>
      <c r="H348">
        <v>108</v>
      </c>
      <c r="I348">
        <v>32</v>
      </c>
      <c r="J348" s="1">
        <v>-416.66666666666669</v>
      </c>
      <c r="K348">
        <v>62</v>
      </c>
      <c r="L348">
        <v>78</v>
      </c>
      <c r="M348" s="1">
        <v>-416.66666666666669</v>
      </c>
      <c r="N348">
        <v>72</v>
      </c>
      <c r="O348">
        <v>78</v>
      </c>
      <c r="P348" s="12">
        <v>84</v>
      </c>
      <c r="Q348" s="1">
        <v>-416.66666666666669</v>
      </c>
      <c r="R348">
        <v>0</v>
      </c>
      <c r="S348">
        <v>-90</v>
      </c>
    </row>
    <row r="349" spans="1:19">
      <c r="A349" t="s">
        <v>53</v>
      </c>
      <c r="B349" s="1">
        <v>-416.66666666666669</v>
      </c>
      <c r="C349">
        <v>76</v>
      </c>
      <c r="D349">
        <v>160</v>
      </c>
      <c r="E349">
        <v>0</v>
      </c>
      <c r="F349">
        <v>4</v>
      </c>
      <c r="G349">
        <v>4</v>
      </c>
      <c r="H349">
        <v>108</v>
      </c>
      <c r="I349">
        <v>32</v>
      </c>
      <c r="J349" s="1">
        <v>-416.66666666666669</v>
      </c>
      <c r="K349">
        <v>16</v>
      </c>
      <c r="L349">
        <v>10</v>
      </c>
      <c r="M349" s="1">
        <v>-416.66666666666669</v>
      </c>
      <c r="N349">
        <v>88</v>
      </c>
      <c r="O349">
        <v>91</v>
      </c>
      <c r="P349" s="12">
        <v>94</v>
      </c>
      <c r="Q349" s="1">
        <v>-416.66666666666669</v>
      </c>
      <c r="R349">
        <v>0</v>
      </c>
      <c r="S349">
        <v>-90</v>
      </c>
    </row>
    <row r="350" spans="1:19">
      <c r="A350" t="s">
        <v>53</v>
      </c>
      <c r="B350" s="1">
        <v>-416.66666666666669</v>
      </c>
      <c r="C350">
        <v>76</v>
      </c>
      <c r="D350">
        <v>164</v>
      </c>
      <c r="E350">
        <v>0</v>
      </c>
      <c r="F350">
        <v>8</v>
      </c>
      <c r="G350">
        <v>4</v>
      </c>
      <c r="H350">
        <v>104</v>
      </c>
      <c r="I350">
        <v>36</v>
      </c>
      <c r="J350" s="1">
        <v>-416.66666666666669</v>
      </c>
      <c r="K350">
        <v>73</v>
      </c>
      <c r="L350">
        <v>67</v>
      </c>
      <c r="M350" s="1">
        <v>-416.66666666666669</v>
      </c>
      <c r="N350">
        <v>80</v>
      </c>
      <c r="O350">
        <v>76</v>
      </c>
      <c r="P350" s="12">
        <v>72</v>
      </c>
      <c r="Q350" s="1">
        <v>-416.66666666666669</v>
      </c>
      <c r="R350">
        <v>0</v>
      </c>
      <c r="S350">
        <v>-90</v>
      </c>
    </row>
    <row r="351" spans="1:19">
      <c r="A351" t="s">
        <v>53</v>
      </c>
      <c r="B351" s="1">
        <v>-416.66666666666669</v>
      </c>
      <c r="C351">
        <v>76</v>
      </c>
      <c r="D351">
        <v>164</v>
      </c>
      <c r="E351">
        <v>0</v>
      </c>
      <c r="F351">
        <v>8</v>
      </c>
      <c r="G351">
        <v>4</v>
      </c>
      <c r="H351">
        <v>100</v>
      </c>
      <c r="I351">
        <v>32</v>
      </c>
      <c r="J351" s="1">
        <v>-416.66666666666669</v>
      </c>
      <c r="K351">
        <v>67</v>
      </c>
      <c r="L351">
        <v>53</v>
      </c>
      <c r="M351" s="1">
        <v>-416.66666666666669</v>
      </c>
      <c r="N351">
        <v>88</v>
      </c>
      <c r="O351">
        <v>82</v>
      </c>
      <c r="P351" s="12">
        <v>76</v>
      </c>
      <c r="Q351" s="1">
        <v>-416.66666666666669</v>
      </c>
      <c r="R351">
        <v>0</v>
      </c>
      <c r="S351">
        <v>-90</v>
      </c>
    </row>
    <row r="352" spans="1:19">
      <c r="A352" t="s">
        <v>53</v>
      </c>
      <c r="B352" s="1">
        <v>-416.66666666666669</v>
      </c>
      <c r="C352">
        <v>28</v>
      </c>
      <c r="D352">
        <v>160</v>
      </c>
      <c r="E352">
        <v>4</v>
      </c>
      <c r="F352">
        <v>12</v>
      </c>
      <c r="G352">
        <v>4</v>
      </c>
      <c r="H352">
        <v>108</v>
      </c>
      <c r="I352">
        <v>28</v>
      </c>
      <c r="J352" s="1">
        <v>-416.66666666666669</v>
      </c>
      <c r="K352">
        <v>55</v>
      </c>
      <c r="L352">
        <v>65</v>
      </c>
      <c r="M352" s="1">
        <v>-416.66666666666669</v>
      </c>
      <c r="N352">
        <v>84</v>
      </c>
      <c r="O352">
        <v>82</v>
      </c>
      <c r="P352" s="12">
        <v>80</v>
      </c>
      <c r="Q352" s="1">
        <v>-416.66666666666669</v>
      </c>
      <c r="R352">
        <v>0</v>
      </c>
      <c r="S352">
        <v>-90</v>
      </c>
    </row>
    <row r="353" spans="1:19">
      <c r="A353" t="s">
        <v>236</v>
      </c>
      <c r="B353" s="1">
        <v>-416.66666666666669</v>
      </c>
      <c r="C353">
        <v>0</v>
      </c>
      <c r="D353">
        <v>164</v>
      </c>
      <c r="E353">
        <v>8</v>
      </c>
      <c r="F353">
        <v>12</v>
      </c>
      <c r="G353">
        <v>8</v>
      </c>
      <c r="H353">
        <v>108</v>
      </c>
      <c r="I353">
        <v>28</v>
      </c>
      <c r="J353" s="1">
        <v>-416.66666666666669</v>
      </c>
      <c r="K353">
        <v>25</v>
      </c>
      <c r="L353">
        <v>15</v>
      </c>
      <c r="M353" s="1">
        <v>-416.66666666666669</v>
      </c>
      <c r="N353">
        <v>80</v>
      </c>
      <c r="O353">
        <v>77</v>
      </c>
      <c r="P353">
        <v>74</v>
      </c>
      <c r="Q353" s="1">
        <v>-416.66666666666669</v>
      </c>
      <c r="R353">
        <v>0</v>
      </c>
      <c r="S353">
        <v>-90</v>
      </c>
    </row>
    <row r="354" spans="1:19">
      <c r="A354" t="s">
        <v>236</v>
      </c>
      <c r="B354" s="1">
        <v>-416.66666666666669</v>
      </c>
      <c r="C354">
        <v>0</v>
      </c>
      <c r="D354">
        <v>168</v>
      </c>
      <c r="E354">
        <v>4</v>
      </c>
      <c r="F354">
        <v>16</v>
      </c>
      <c r="G354">
        <v>8</v>
      </c>
      <c r="H354">
        <v>108</v>
      </c>
      <c r="I354">
        <v>28</v>
      </c>
      <c r="J354" s="1">
        <v>-416.66666666666669</v>
      </c>
      <c r="K354">
        <v>18</v>
      </c>
      <c r="L354">
        <v>48</v>
      </c>
      <c r="M354" s="1">
        <v>-416.66666666666669</v>
      </c>
      <c r="N354">
        <v>74</v>
      </c>
      <c r="O354">
        <v>70</v>
      </c>
      <c r="P354" s="12">
        <v>66</v>
      </c>
      <c r="Q354" s="1">
        <v>-416.66666666666669</v>
      </c>
      <c r="R354">
        <v>-2</v>
      </c>
      <c r="S354">
        <v>-90</v>
      </c>
    </row>
    <row r="355" spans="1:19">
      <c r="A355" t="s">
        <v>236</v>
      </c>
      <c r="B355" s="1">
        <v>-416.66666666666669</v>
      </c>
      <c r="C355">
        <v>0</v>
      </c>
      <c r="D355">
        <v>164</v>
      </c>
      <c r="E355">
        <v>8</v>
      </c>
      <c r="F355">
        <v>20</v>
      </c>
      <c r="G355">
        <v>12</v>
      </c>
      <c r="H355">
        <v>100</v>
      </c>
      <c r="I355">
        <v>24</v>
      </c>
      <c r="J355" s="1">
        <v>-416.66666666666669</v>
      </c>
      <c r="K355">
        <v>18</v>
      </c>
      <c r="L355">
        <v>48</v>
      </c>
      <c r="M355" s="1">
        <v>-416.66666666666669</v>
      </c>
      <c r="N355">
        <v>64</v>
      </c>
      <c r="O355">
        <v>73</v>
      </c>
      <c r="P355" s="12">
        <v>82</v>
      </c>
      <c r="Q355" s="1">
        <v>-416.66666666666669</v>
      </c>
      <c r="R355">
        <v>-8</v>
      </c>
      <c r="S355">
        <v>-90</v>
      </c>
    </row>
    <row r="356" spans="1:19">
      <c r="A356" t="s">
        <v>236</v>
      </c>
      <c r="B356" s="1">
        <v>-416.66666666666669</v>
      </c>
      <c r="C356">
        <v>0</v>
      </c>
      <c r="D356">
        <v>112</v>
      </c>
      <c r="E356">
        <v>8</v>
      </c>
      <c r="F356">
        <v>28</v>
      </c>
      <c r="G356">
        <v>16</v>
      </c>
      <c r="H356">
        <v>84</v>
      </c>
      <c r="I356">
        <v>20</v>
      </c>
      <c r="J356" s="1">
        <v>-416.66666666666669</v>
      </c>
      <c r="K356">
        <v>18</v>
      </c>
      <c r="L356">
        <v>48</v>
      </c>
      <c r="M356" s="1">
        <v>-416.66666666666669</v>
      </c>
      <c r="N356">
        <v>66</v>
      </c>
      <c r="O356">
        <v>75</v>
      </c>
      <c r="P356">
        <v>84</v>
      </c>
      <c r="Q356" s="1">
        <v>-416.66666666666669</v>
      </c>
      <c r="R356">
        <v>-10</v>
      </c>
      <c r="S356">
        <v>-88</v>
      </c>
    </row>
    <row r="357" spans="1:19">
      <c r="A357" t="s">
        <v>236</v>
      </c>
      <c r="B357" s="1">
        <v>-416.66666666666669</v>
      </c>
      <c r="C357">
        <v>0</v>
      </c>
      <c r="D357">
        <v>0</v>
      </c>
      <c r="E357">
        <v>8</v>
      </c>
      <c r="F357">
        <v>24</v>
      </c>
      <c r="G357">
        <v>48</v>
      </c>
      <c r="H357">
        <v>56</v>
      </c>
      <c r="I357">
        <v>20</v>
      </c>
      <c r="J357" s="1">
        <v>-416.66666666666669</v>
      </c>
      <c r="K357">
        <v>18</v>
      </c>
      <c r="L357">
        <v>48</v>
      </c>
      <c r="M357" s="1">
        <v>-416.66666666666669</v>
      </c>
      <c r="N357">
        <v>50</v>
      </c>
      <c r="O357">
        <v>68</v>
      </c>
      <c r="P357">
        <v>86</v>
      </c>
      <c r="Q357" s="1">
        <v>-416.66666666666669</v>
      </c>
      <c r="R357">
        <v>-14</v>
      </c>
      <c r="S357">
        <v>-80</v>
      </c>
    </row>
    <row r="358" spans="1:19">
      <c r="A358" t="s">
        <v>236</v>
      </c>
      <c r="B358" s="1">
        <v>-416.66666666666669</v>
      </c>
      <c r="C358">
        <v>0</v>
      </c>
      <c r="D358">
        <v>0</v>
      </c>
      <c r="E358">
        <v>8</v>
      </c>
      <c r="F358">
        <v>24</v>
      </c>
      <c r="G358">
        <v>56</v>
      </c>
      <c r="H358">
        <v>40</v>
      </c>
      <c r="I358">
        <v>32</v>
      </c>
      <c r="J358" s="1">
        <v>-416.66666666666669</v>
      </c>
      <c r="K358">
        <v>18</v>
      </c>
      <c r="L358">
        <v>48</v>
      </c>
      <c r="M358" s="1">
        <v>-416.66666666666669</v>
      </c>
      <c r="N358">
        <v>46</v>
      </c>
      <c r="O358">
        <v>69</v>
      </c>
      <c r="P358">
        <v>92</v>
      </c>
      <c r="Q358" s="1">
        <v>-416.66666666666669</v>
      </c>
      <c r="R358">
        <v>-16</v>
      </c>
      <c r="S358">
        <v>-74</v>
      </c>
    </row>
    <row r="359" spans="1:19">
      <c r="A359" t="s">
        <v>236</v>
      </c>
      <c r="B359" s="1">
        <v>-416.66666666666669</v>
      </c>
      <c r="C359">
        <v>0</v>
      </c>
      <c r="D359">
        <v>0</v>
      </c>
      <c r="E359">
        <v>4</v>
      </c>
      <c r="F359">
        <v>28</v>
      </c>
      <c r="G359">
        <v>48</v>
      </c>
      <c r="H359">
        <v>28</v>
      </c>
      <c r="I359">
        <v>32</v>
      </c>
      <c r="J359" s="1">
        <v>-416.66666666666669</v>
      </c>
      <c r="K359">
        <v>18</v>
      </c>
      <c r="L359">
        <v>48</v>
      </c>
      <c r="M359" s="1">
        <v>-416.66666666666669</v>
      </c>
      <c r="N359">
        <v>44</v>
      </c>
      <c r="O359">
        <v>67</v>
      </c>
      <c r="P359">
        <v>90</v>
      </c>
      <c r="Q359" s="1">
        <v>-416.66666666666669</v>
      </c>
      <c r="R359">
        <v>-16</v>
      </c>
      <c r="S359">
        <v>-68</v>
      </c>
    </row>
    <row r="360" spans="1:19">
      <c r="A360" t="s">
        <v>236</v>
      </c>
      <c r="B360" s="1">
        <v>-416.66666666666669</v>
      </c>
      <c r="C360">
        <v>0</v>
      </c>
      <c r="D360">
        <v>0</v>
      </c>
      <c r="E360">
        <v>4</v>
      </c>
      <c r="F360">
        <v>28</v>
      </c>
      <c r="G360">
        <v>52</v>
      </c>
      <c r="H360">
        <v>20</v>
      </c>
      <c r="I360">
        <v>52</v>
      </c>
      <c r="J360" s="1">
        <v>-416.66666666666669</v>
      </c>
      <c r="K360">
        <v>26</v>
      </c>
      <c r="L360">
        <v>40</v>
      </c>
      <c r="M360" s="1">
        <v>-416.66666666666669</v>
      </c>
      <c r="N360">
        <v>48</v>
      </c>
      <c r="O360">
        <v>68</v>
      </c>
      <c r="P360">
        <v>88</v>
      </c>
      <c r="Q360" s="1">
        <v>-416.66666666666669</v>
      </c>
      <c r="R360">
        <v>-14</v>
      </c>
      <c r="S360">
        <v>-62</v>
      </c>
    </row>
    <row r="361" spans="1:19">
      <c r="A361" t="s">
        <v>236</v>
      </c>
      <c r="B361" s="1">
        <v>-416.66666666666669</v>
      </c>
      <c r="C361">
        <v>0</v>
      </c>
      <c r="D361">
        <v>0</v>
      </c>
      <c r="E361">
        <v>0</v>
      </c>
      <c r="F361">
        <v>24</v>
      </c>
      <c r="G361">
        <v>60</v>
      </c>
      <c r="H361">
        <v>20</v>
      </c>
      <c r="I361">
        <v>84</v>
      </c>
      <c r="J361" s="1">
        <v>-416.66666666666669</v>
      </c>
      <c r="K361">
        <v>20</v>
      </c>
      <c r="L361">
        <v>46</v>
      </c>
      <c r="M361" s="1">
        <v>-416.66666666666669</v>
      </c>
      <c r="N361">
        <v>46</v>
      </c>
      <c r="O361">
        <v>65</v>
      </c>
      <c r="P361">
        <v>84</v>
      </c>
      <c r="Q361" s="1">
        <v>-416.66666666666669</v>
      </c>
      <c r="R361">
        <v>-14</v>
      </c>
      <c r="S361">
        <v>-54</v>
      </c>
    </row>
    <row r="362" spans="1:19">
      <c r="A362" t="s">
        <v>236</v>
      </c>
      <c r="B362" s="1">
        <v>-416.66666666666669</v>
      </c>
      <c r="C362">
        <v>4</v>
      </c>
      <c r="D362">
        <v>0</v>
      </c>
      <c r="E362">
        <v>0</v>
      </c>
      <c r="F362">
        <v>20</v>
      </c>
      <c r="G362">
        <v>68</v>
      </c>
      <c r="H362">
        <v>28</v>
      </c>
      <c r="I362">
        <v>144</v>
      </c>
      <c r="J362" s="1">
        <v>-416.66666666666669</v>
      </c>
      <c r="K362">
        <v>23</v>
      </c>
      <c r="L362">
        <v>43</v>
      </c>
      <c r="M362" s="1">
        <v>-416.66666666666669</v>
      </c>
      <c r="N362">
        <v>42</v>
      </c>
      <c r="O362">
        <v>62</v>
      </c>
      <c r="P362">
        <v>82</v>
      </c>
      <c r="Q362" s="1">
        <v>-416.66666666666669</v>
      </c>
      <c r="R362">
        <v>-14</v>
      </c>
      <c r="S362">
        <v>-48</v>
      </c>
    </row>
    <row r="363" spans="1:19">
      <c r="A363" t="s">
        <v>236</v>
      </c>
      <c r="B363" s="1">
        <v>-416.66666666666669</v>
      </c>
      <c r="C363">
        <v>4</v>
      </c>
      <c r="D363">
        <v>0</v>
      </c>
      <c r="E363">
        <v>0</v>
      </c>
      <c r="F363">
        <v>16</v>
      </c>
      <c r="G363">
        <v>76</v>
      </c>
      <c r="H363">
        <v>44</v>
      </c>
      <c r="I363">
        <v>192</v>
      </c>
      <c r="J363" s="1">
        <v>-416.66666666666669</v>
      </c>
      <c r="K363">
        <v>25</v>
      </c>
      <c r="L363">
        <v>41</v>
      </c>
      <c r="M363" s="1">
        <v>-416.66666666666669</v>
      </c>
      <c r="N363">
        <v>44</v>
      </c>
      <c r="O363">
        <v>63</v>
      </c>
      <c r="P363">
        <v>82</v>
      </c>
      <c r="Q363" s="1">
        <v>-416.66666666666669</v>
      </c>
      <c r="R363">
        <v>-14</v>
      </c>
      <c r="S363">
        <v>-42</v>
      </c>
    </row>
    <row r="364" spans="1:19">
      <c r="A364" t="s">
        <v>236</v>
      </c>
      <c r="B364" s="1">
        <v>-416.66666666666669</v>
      </c>
      <c r="C364">
        <v>0</v>
      </c>
      <c r="D364">
        <v>0</v>
      </c>
      <c r="E364">
        <v>0</v>
      </c>
      <c r="F364">
        <v>12</v>
      </c>
      <c r="G364">
        <v>68</v>
      </c>
      <c r="H364">
        <v>68</v>
      </c>
      <c r="I364">
        <v>164</v>
      </c>
      <c r="J364" s="1">
        <v>-416.66666666666669</v>
      </c>
      <c r="K364">
        <v>24</v>
      </c>
      <c r="L364">
        <v>42</v>
      </c>
      <c r="M364" s="1">
        <v>-416.66666666666669</v>
      </c>
      <c r="N364">
        <v>44</v>
      </c>
      <c r="O364">
        <v>62</v>
      </c>
      <c r="P364">
        <v>80</v>
      </c>
      <c r="Q364" s="1">
        <v>-416.66666666666669</v>
      </c>
      <c r="R364">
        <v>-14</v>
      </c>
      <c r="S364">
        <v>-36</v>
      </c>
    </row>
    <row r="365" spans="1:19">
      <c r="A365" t="s">
        <v>236</v>
      </c>
      <c r="B365" s="1">
        <v>-416.66666666666669</v>
      </c>
      <c r="C365">
        <v>0</v>
      </c>
      <c r="D365">
        <v>0</v>
      </c>
      <c r="E365">
        <v>0</v>
      </c>
      <c r="F365">
        <v>8</v>
      </c>
      <c r="G365">
        <v>56</v>
      </c>
      <c r="H365">
        <v>96</v>
      </c>
      <c r="I365">
        <v>160</v>
      </c>
      <c r="J365" s="1">
        <v>-416.66666666666669</v>
      </c>
      <c r="K365">
        <v>19</v>
      </c>
      <c r="L365">
        <v>47</v>
      </c>
      <c r="M365" s="1">
        <v>-416.66666666666669</v>
      </c>
      <c r="N365">
        <v>44</v>
      </c>
      <c r="O365">
        <v>61</v>
      </c>
      <c r="P365">
        <v>78</v>
      </c>
      <c r="Q365" s="1">
        <v>-416.66666666666669</v>
      </c>
      <c r="R365">
        <v>-14</v>
      </c>
      <c r="S365">
        <v>-32</v>
      </c>
    </row>
    <row r="366" spans="1:19">
      <c r="A366" t="s">
        <v>236</v>
      </c>
      <c r="B366" s="1">
        <v>-416.66666666666669</v>
      </c>
      <c r="C366">
        <v>8</v>
      </c>
      <c r="D366">
        <v>0</v>
      </c>
      <c r="E366">
        <v>0</v>
      </c>
      <c r="F366">
        <v>4</v>
      </c>
      <c r="G366">
        <v>48</v>
      </c>
      <c r="H366">
        <v>128</v>
      </c>
      <c r="I366">
        <v>148</v>
      </c>
      <c r="J366" s="1">
        <v>-416.66666666666669</v>
      </c>
      <c r="K366">
        <v>22</v>
      </c>
      <c r="L366">
        <v>44</v>
      </c>
      <c r="M366" s="1">
        <v>-416.66666666666669</v>
      </c>
      <c r="N366">
        <v>44</v>
      </c>
      <c r="O366">
        <v>61</v>
      </c>
      <c r="P366">
        <v>78</v>
      </c>
      <c r="Q366" s="1">
        <v>-416.66666666666669</v>
      </c>
      <c r="R366">
        <v>-14</v>
      </c>
      <c r="S366">
        <v>-26</v>
      </c>
    </row>
    <row r="367" spans="1:19">
      <c r="A367" t="s">
        <v>236</v>
      </c>
      <c r="B367" s="1">
        <v>-416.66666666666669</v>
      </c>
      <c r="C367">
        <v>8</v>
      </c>
      <c r="D367">
        <v>0</v>
      </c>
      <c r="E367">
        <v>0</v>
      </c>
      <c r="F367">
        <v>0</v>
      </c>
      <c r="G367">
        <v>32</v>
      </c>
      <c r="H367">
        <v>152</v>
      </c>
      <c r="I367">
        <v>136</v>
      </c>
      <c r="J367" s="1">
        <v>-416.66666666666669</v>
      </c>
      <c r="K367">
        <v>26</v>
      </c>
      <c r="L367">
        <v>40</v>
      </c>
      <c r="M367" s="1">
        <v>-416.66666666666669</v>
      </c>
      <c r="N367">
        <v>44</v>
      </c>
      <c r="O367">
        <v>61</v>
      </c>
      <c r="P367">
        <v>78</v>
      </c>
      <c r="Q367" s="1">
        <v>-416.66666666666669</v>
      </c>
      <c r="R367">
        <v>-12</v>
      </c>
      <c r="S367">
        <v>-20</v>
      </c>
    </row>
    <row r="368" spans="1:19">
      <c r="A368" t="s">
        <v>236</v>
      </c>
      <c r="B368" s="1">
        <v>-416.66666666666669</v>
      </c>
      <c r="C368">
        <v>4</v>
      </c>
      <c r="D368">
        <v>0</v>
      </c>
      <c r="E368">
        <v>0</v>
      </c>
      <c r="F368">
        <v>0</v>
      </c>
      <c r="G368">
        <v>20</v>
      </c>
      <c r="H368">
        <v>212</v>
      </c>
      <c r="I368">
        <v>116</v>
      </c>
      <c r="J368" s="1">
        <v>-416.66666666666669</v>
      </c>
      <c r="K368">
        <v>22</v>
      </c>
      <c r="L368">
        <v>44</v>
      </c>
      <c r="M368" s="1">
        <v>-416.66666666666669</v>
      </c>
      <c r="N368">
        <v>44</v>
      </c>
      <c r="O368">
        <v>61</v>
      </c>
      <c r="P368">
        <v>78</v>
      </c>
      <c r="Q368" s="1">
        <v>-416.66666666666669</v>
      </c>
      <c r="R368">
        <v>-12</v>
      </c>
      <c r="S368">
        <v>-14</v>
      </c>
    </row>
    <row r="369" spans="1:19">
      <c r="A369" t="s">
        <v>30</v>
      </c>
      <c r="B369" s="1">
        <v>-416.66666666666669</v>
      </c>
      <c r="C369">
        <v>8</v>
      </c>
      <c r="D369">
        <v>0</v>
      </c>
      <c r="E369">
        <v>0</v>
      </c>
      <c r="F369">
        <v>0</v>
      </c>
      <c r="G369">
        <v>8</v>
      </c>
      <c r="H369">
        <v>228</v>
      </c>
      <c r="I369">
        <v>92</v>
      </c>
      <c r="J369" s="1">
        <v>-416.66666666666669</v>
      </c>
      <c r="K369">
        <v>-3</v>
      </c>
      <c r="L369">
        <v>55</v>
      </c>
      <c r="M369" s="1">
        <v>-416.66666666666669</v>
      </c>
      <c r="N369">
        <v>34</v>
      </c>
      <c r="O369">
        <v>57</v>
      </c>
      <c r="P369">
        <v>80</v>
      </c>
      <c r="Q369" s="1">
        <v>-416.66666666666669</v>
      </c>
      <c r="R369">
        <v>-18</v>
      </c>
      <c r="S369">
        <v>-10</v>
      </c>
    </row>
    <row r="370" spans="1:19">
      <c r="A370" t="s">
        <v>30</v>
      </c>
      <c r="B370" s="1">
        <v>-416.66666666666669</v>
      </c>
      <c r="C370">
        <v>4</v>
      </c>
      <c r="D370">
        <v>0</v>
      </c>
      <c r="E370">
        <v>0</v>
      </c>
      <c r="F370">
        <v>0</v>
      </c>
      <c r="G370">
        <v>4</v>
      </c>
      <c r="H370">
        <v>188</v>
      </c>
      <c r="I370">
        <v>60</v>
      </c>
      <c r="J370" s="1">
        <v>-416.66666666666669</v>
      </c>
      <c r="K370">
        <v>50</v>
      </c>
      <c r="L370">
        <v>20</v>
      </c>
      <c r="M370" s="1">
        <v>-416.66666666666669</v>
      </c>
      <c r="N370">
        <v>36</v>
      </c>
      <c r="O370">
        <v>58</v>
      </c>
      <c r="P370">
        <v>80</v>
      </c>
      <c r="Q370" s="1">
        <v>-416.66666666666669</v>
      </c>
      <c r="R370">
        <v>-10</v>
      </c>
      <c r="S370">
        <v>-2</v>
      </c>
    </row>
    <row r="371" spans="1:19">
      <c r="A371" t="s">
        <v>30</v>
      </c>
      <c r="B371" s="1">
        <v>-416.66666666666669</v>
      </c>
      <c r="C371">
        <v>4</v>
      </c>
      <c r="D371">
        <v>4</v>
      </c>
      <c r="E371">
        <v>4</v>
      </c>
      <c r="F371">
        <v>4</v>
      </c>
      <c r="G371">
        <v>0</v>
      </c>
      <c r="H371">
        <v>156</v>
      </c>
      <c r="I371">
        <v>40</v>
      </c>
      <c r="J371" s="1">
        <v>-416.66666666666669</v>
      </c>
      <c r="K371">
        <v>54</v>
      </c>
      <c r="L371">
        <v>16</v>
      </c>
      <c r="M371" s="1">
        <v>-416.66666666666669</v>
      </c>
      <c r="N371">
        <v>72</v>
      </c>
      <c r="O371">
        <v>71</v>
      </c>
      <c r="P371">
        <v>70</v>
      </c>
      <c r="Q371" s="1">
        <v>-416.66666666666669</v>
      </c>
      <c r="R371">
        <v>-4</v>
      </c>
      <c r="S371">
        <v>2</v>
      </c>
    </row>
    <row r="372" spans="1:19">
      <c r="A372" t="s">
        <v>30</v>
      </c>
      <c r="B372" s="1">
        <v>-416.66666666666669</v>
      </c>
      <c r="C372">
        <v>8</v>
      </c>
      <c r="D372">
        <v>4</v>
      </c>
      <c r="E372">
        <v>8</v>
      </c>
      <c r="F372">
        <v>4</v>
      </c>
      <c r="G372">
        <v>0</v>
      </c>
      <c r="H372">
        <v>148</v>
      </c>
      <c r="I372">
        <v>32</v>
      </c>
      <c r="J372" s="1">
        <v>-416.66666666666669</v>
      </c>
      <c r="K372">
        <v>38</v>
      </c>
      <c r="L372">
        <v>32</v>
      </c>
      <c r="M372" s="1">
        <v>-416.66666666666669</v>
      </c>
      <c r="N372">
        <v>66</v>
      </c>
      <c r="O372">
        <v>63</v>
      </c>
      <c r="P372">
        <v>60</v>
      </c>
      <c r="Q372" s="1">
        <v>-416.66666666666669</v>
      </c>
      <c r="R372">
        <v>0</v>
      </c>
      <c r="S372">
        <v>4</v>
      </c>
    </row>
    <row r="373" spans="1:19">
      <c r="A373" t="s">
        <v>30</v>
      </c>
      <c r="B373" s="1">
        <v>-416.66666666666669</v>
      </c>
      <c r="C373">
        <v>4</v>
      </c>
      <c r="D373">
        <v>4</v>
      </c>
      <c r="E373">
        <v>8</v>
      </c>
      <c r="F373">
        <v>4</v>
      </c>
      <c r="G373">
        <v>0</v>
      </c>
      <c r="H373">
        <v>140</v>
      </c>
      <c r="I373">
        <v>32</v>
      </c>
      <c r="J373" s="1">
        <v>-416.66666666666669</v>
      </c>
      <c r="K373">
        <v>30</v>
      </c>
      <c r="L373">
        <v>30</v>
      </c>
      <c r="M373" s="1">
        <v>-416.66666666666669</v>
      </c>
      <c r="N373">
        <v>56</v>
      </c>
      <c r="O373">
        <v>58</v>
      </c>
      <c r="P373">
        <v>60</v>
      </c>
      <c r="Q373" s="1">
        <v>-416.66666666666669</v>
      </c>
      <c r="R373">
        <v>0</v>
      </c>
      <c r="S373">
        <v>4</v>
      </c>
    </row>
    <row r="374" spans="1:19">
      <c r="A374" t="s">
        <v>46</v>
      </c>
      <c r="B374" s="1">
        <v>-416.66666666666669</v>
      </c>
      <c r="C374">
        <v>4</v>
      </c>
      <c r="D374">
        <v>4</v>
      </c>
      <c r="E374">
        <v>8</v>
      </c>
      <c r="F374">
        <v>4</v>
      </c>
      <c r="G374">
        <v>0</v>
      </c>
      <c r="H374">
        <v>132</v>
      </c>
      <c r="I374">
        <v>20</v>
      </c>
      <c r="J374" s="1">
        <v>-416.66666666666669</v>
      </c>
      <c r="K374">
        <v>69</v>
      </c>
      <c r="L374">
        <v>71</v>
      </c>
      <c r="M374" s="1">
        <v>-416.66666666666669</v>
      </c>
      <c r="N374">
        <v>60</v>
      </c>
      <c r="O374">
        <v>60</v>
      </c>
      <c r="P374">
        <v>60</v>
      </c>
      <c r="Q374" s="1">
        <v>-416.66666666666669</v>
      </c>
      <c r="R374">
        <v>0</v>
      </c>
      <c r="S374">
        <v>4</v>
      </c>
    </row>
    <row r="375" spans="1:19">
      <c r="A375" t="s">
        <v>46</v>
      </c>
      <c r="B375" s="1">
        <v>-416.66666666666669</v>
      </c>
      <c r="C375">
        <v>8</v>
      </c>
      <c r="D375">
        <v>4</v>
      </c>
      <c r="E375">
        <v>8</v>
      </c>
      <c r="F375">
        <v>4</v>
      </c>
      <c r="G375">
        <v>4</v>
      </c>
      <c r="H375">
        <v>124</v>
      </c>
      <c r="I375">
        <v>20</v>
      </c>
      <c r="J375" s="1">
        <v>-416.66666666666669</v>
      </c>
      <c r="K375">
        <v>76</v>
      </c>
      <c r="L375">
        <v>64</v>
      </c>
      <c r="M375" s="1">
        <v>-416.66666666666669</v>
      </c>
      <c r="N375">
        <v>76</v>
      </c>
      <c r="O375">
        <v>73</v>
      </c>
      <c r="P375">
        <v>70</v>
      </c>
      <c r="Q375" s="1">
        <v>-416.66666666666669</v>
      </c>
      <c r="R375">
        <v>0</v>
      </c>
      <c r="S375">
        <v>4</v>
      </c>
    </row>
    <row r="376" spans="1:19">
      <c r="A376" t="s">
        <v>46</v>
      </c>
      <c r="B376" s="1">
        <v>-416.66666666666669</v>
      </c>
      <c r="C376">
        <v>20</v>
      </c>
      <c r="D376">
        <v>4</v>
      </c>
      <c r="E376">
        <v>8</v>
      </c>
      <c r="F376">
        <v>4</v>
      </c>
      <c r="G376">
        <v>4</v>
      </c>
      <c r="H376">
        <v>116</v>
      </c>
      <c r="I376">
        <v>12</v>
      </c>
      <c r="J376" s="1">
        <v>-416.66666666666669</v>
      </c>
      <c r="K376">
        <v>49</v>
      </c>
      <c r="L376">
        <v>31</v>
      </c>
      <c r="M376" s="1">
        <v>-416.66666666666669</v>
      </c>
      <c r="N376">
        <v>100</v>
      </c>
      <c r="O376">
        <v>90</v>
      </c>
      <c r="P376" s="12">
        <v>80</v>
      </c>
      <c r="Q376" s="1">
        <v>-416.66666666666669</v>
      </c>
      <c r="R376">
        <v>0</v>
      </c>
      <c r="S376">
        <v>4</v>
      </c>
    </row>
    <row r="377" spans="1:19">
      <c r="A377" t="s">
        <v>46</v>
      </c>
      <c r="B377" s="1">
        <v>-416.66666666666669</v>
      </c>
      <c r="C377">
        <v>40</v>
      </c>
      <c r="D377">
        <v>4</v>
      </c>
      <c r="E377">
        <v>8</v>
      </c>
      <c r="F377">
        <v>8</v>
      </c>
      <c r="G377">
        <v>4</v>
      </c>
      <c r="H377">
        <v>112</v>
      </c>
      <c r="I377">
        <v>0</v>
      </c>
      <c r="J377" s="1">
        <v>-416.66666666666669</v>
      </c>
      <c r="K377">
        <v>81</v>
      </c>
      <c r="L377">
        <v>59</v>
      </c>
      <c r="M377" s="1">
        <v>-416.66666666666669</v>
      </c>
      <c r="N377">
        <v>90</v>
      </c>
      <c r="O377">
        <v>73</v>
      </c>
      <c r="P377" s="12">
        <v>56</v>
      </c>
      <c r="Q377" s="1">
        <v>-416.66666666666669</v>
      </c>
      <c r="R377">
        <v>2</v>
      </c>
      <c r="S377">
        <v>6</v>
      </c>
    </row>
    <row r="378" spans="1:19">
      <c r="A378" t="s">
        <v>46</v>
      </c>
      <c r="B378" s="1">
        <v>-416.66666666666669</v>
      </c>
      <c r="C378">
        <v>76</v>
      </c>
      <c r="D378">
        <v>4</v>
      </c>
      <c r="E378">
        <v>12</v>
      </c>
      <c r="F378">
        <v>8</v>
      </c>
      <c r="G378">
        <v>4</v>
      </c>
      <c r="H378">
        <v>108</v>
      </c>
      <c r="I378">
        <v>0</v>
      </c>
      <c r="J378" s="1">
        <v>-416.66666666666669</v>
      </c>
      <c r="K378">
        <v>67</v>
      </c>
      <c r="L378">
        <v>53</v>
      </c>
      <c r="M378" s="1">
        <v>-416.66666666666669</v>
      </c>
      <c r="N378">
        <v>90</v>
      </c>
      <c r="O378">
        <v>82</v>
      </c>
      <c r="P378">
        <v>74</v>
      </c>
      <c r="Q378" s="1">
        <v>-416.66666666666669</v>
      </c>
      <c r="R378">
        <v>2</v>
      </c>
      <c r="S378">
        <v>6</v>
      </c>
    </row>
    <row r="379" spans="1:19">
      <c r="A379" t="s">
        <v>46</v>
      </c>
      <c r="B379" s="1">
        <v>-416.66666666666669</v>
      </c>
      <c r="C379">
        <v>88</v>
      </c>
      <c r="D379">
        <v>4</v>
      </c>
      <c r="E379">
        <v>12</v>
      </c>
      <c r="F379">
        <v>12</v>
      </c>
      <c r="G379">
        <v>8</v>
      </c>
      <c r="H379">
        <v>104</v>
      </c>
      <c r="I379">
        <v>0</v>
      </c>
      <c r="J379" s="1">
        <v>-416.66666666666669</v>
      </c>
      <c r="K379">
        <v>61</v>
      </c>
      <c r="L379">
        <v>59</v>
      </c>
      <c r="M379" s="1">
        <v>-416.66666666666669</v>
      </c>
      <c r="N379">
        <v>86</v>
      </c>
      <c r="O379">
        <v>83</v>
      </c>
      <c r="P379">
        <v>80</v>
      </c>
      <c r="Q379" s="1">
        <v>-416.66666666666669</v>
      </c>
      <c r="R379">
        <v>2</v>
      </c>
      <c r="S379">
        <v>4</v>
      </c>
    </row>
    <row r="380" spans="1:19">
      <c r="A380" t="s">
        <v>46</v>
      </c>
      <c r="B380" s="1">
        <v>-416.66666666666669</v>
      </c>
      <c r="C380">
        <v>80</v>
      </c>
      <c r="D380">
        <v>8</v>
      </c>
      <c r="E380">
        <v>8</v>
      </c>
      <c r="F380">
        <v>12</v>
      </c>
      <c r="G380">
        <v>8</v>
      </c>
      <c r="H380">
        <v>108</v>
      </c>
      <c r="I380">
        <v>4</v>
      </c>
      <c r="J380" s="1">
        <v>-416.66666666666669</v>
      </c>
      <c r="K380">
        <v>30</v>
      </c>
      <c r="L380">
        <v>50</v>
      </c>
      <c r="M380" s="1">
        <v>-416.66666666666669</v>
      </c>
      <c r="N380">
        <v>82</v>
      </c>
      <c r="O380">
        <v>86</v>
      </c>
      <c r="P380" s="12">
        <v>90</v>
      </c>
      <c r="Q380" s="1">
        <v>-416.66666666666669</v>
      </c>
      <c r="R380">
        <v>0</v>
      </c>
      <c r="S380">
        <v>2</v>
      </c>
    </row>
    <row r="381" spans="1:19">
      <c r="A381" t="s">
        <v>46</v>
      </c>
      <c r="B381" s="1">
        <v>-416.66666666666669</v>
      </c>
      <c r="C381">
        <v>80</v>
      </c>
      <c r="D381">
        <v>20</v>
      </c>
      <c r="E381">
        <v>8</v>
      </c>
      <c r="F381">
        <v>20</v>
      </c>
      <c r="G381">
        <v>12</v>
      </c>
      <c r="H381">
        <v>52</v>
      </c>
      <c r="I381">
        <v>4</v>
      </c>
      <c r="J381" s="1">
        <v>-416.66666666666669</v>
      </c>
      <c r="K381">
        <v>72</v>
      </c>
      <c r="L381">
        <v>48</v>
      </c>
      <c r="M381" s="1">
        <v>-416.66666666666669</v>
      </c>
      <c r="N381">
        <v>80</v>
      </c>
      <c r="O381">
        <v>86</v>
      </c>
      <c r="P381" s="12">
        <v>92</v>
      </c>
      <c r="Q381" s="1">
        <v>-416.66666666666669</v>
      </c>
      <c r="R381">
        <v>2</v>
      </c>
      <c r="S381">
        <v>2</v>
      </c>
    </row>
    <row r="382" spans="1:19">
      <c r="A382" t="s">
        <v>46</v>
      </c>
      <c r="B382" s="1">
        <v>-416.66666666666669</v>
      </c>
      <c r="C382">
        <v>88</v>
      </c>
      <c r="D382">
        <v>144</v>
      </c>
      <c r="E382">
        <v>8</v>
      </c>
      <c r="F382">
        <v>28</v>
      </c>
      <c r="G382">
        <v>12</v>
      </c>
      <c r="H382">
        <v>0</v>
      </c>
      <c r="I382">
        <v>0</v>
      </c>
      <c r="J382" s="1">
        <v>-416.66666666666669</v>
      </c>
      <c r="K382">
        <v>53</v>
      </c>
      <c r="L382">
        <v>67</v>
      </c>
      <c r="M382" s="1">
        <v>-416.66666666666669</v>
      </c>
      <c r="N382">
        <v>78</v>
      </c>
      <c r="O382">
        <v>83</v>
      </c>
      <c r="P382" s="12">
        <v>88</v>
      </c>
      <c r="Q382" s="1">
        <v>-416.66666666666669</v>
      </c>
      <c r="R382">
        <v>0</v>
      </c>
      <c r="S382">
        <v>2</v>
      </c>
    </row>
    <row r="383" spans="1:19">
      <c r="A383" t="s">
        <v>46</v>
      </c>
      <c r="B383" s="1">
        <v>-416.66666666666669</v>
      </c>
      <c r="C383">
        <v>92</v>
      </c>
      <c r="D383">
        <v>184</v>
      </c>
      <c r="E383">
        <v>12</v>
      </c>
      <c r="F383">
        <v>32</v>
      </c>
      <c r="G383">
        <v>20</v>
      </c>
      <c r="H383">
        <v>0</v>
      </c>
      <c r="I383">
        <v>4</v>
      </c>
      <c r="J383" s="1">
        <v>-416.66666666666669</v>
      </c>
      <c r="K383">
        <v>68</v>
      </c>
      <c r="L383">
        <v>32</v>
      </c>
      <c r="M383" s="1">
        <v>-416.66666666666669</v>
      </c>
      <c r="N383">
        <v>86</v>
      </c>
      <c r="O383">
        <v>86</v>
      </c>
      <c r="P383">
        <v>86</v>
      </c>
      <c r="Q383" s="1">
        <v>-416.66666666666669</v>
      </c>
      <c r="R383">
        <v>2</v>
      </c>
      <c r="S383">
        <v>2</v>
      </c>
    </row>
    <row r="384" spans="1:19">
      <c r="A384" t="s">
        <v>46</v>
      </c>
      <c r="B384" s="1">
        <v>-416.66666666666669</v>
      </c>
      <c r="C384">
        <v>88</v>
      </c>
      <c r="D384">
        <v>180</v>
      </c>
      <c r="E384">
        <v>20</v>
      </c>
      <c r="F384">
        <v>44</v>
      </c>
      <c r="G384">
        <v>24</v>
      </c>
      <c r="H384">
        <v>0</v>
      </c>
      <c r="I384">
        <v>8</v>
      </c>
      <c r="J384" s="1">
        <v>-416.66666666666669</v>
      </c>
      <c r="K384">
        <v>36</v>
      </c>
      <c r="L384">
        <v>44</v>
      </c>
      <c r="M384" s="1">
        <v>-416.66666666666669</v>
      </c>
      <c r="N384">
        <v>90</v>
      </c>
      <c r="O384">
        <v>87</v>
      </c>
      <c r="P384" s="12">
        <v>84</v>
      </c>
      <c r="Q384" s="1">
        <v>-416.66666666666669</v>
      </c>
      <c r="R384">
        <v>2</v>
      </c>
      <c r="S384">
        <v>2</v>
      </c>
    </row>
    <row r="385" spans="1:19">
      <c r="A385" t="s">
        <v>46</v>
      </c>
      <c r="B385" s="1">
        <v>-416.66666666666669</v>
      </c>
      <c r="C385">
        <v>88</v>
      </c>
      <c r="D385">
        <v>168</v>
      </c>
      <c r="E385">
        <v>28</v>
      </c>
      <c r="F385">
        <v>60</v>
      </c>
      <c r="G385">
        <v>32</v>
      </c>
      <c r="H385">
        <v>0</v>
      </c>
      <c r="I385">
        <v>8</v>
      </c>
      <c r="J385" s="1">
        <v>-416.66666666666669</v>
      </c>
      <c r="K385">
        <v>48</v>
      </c>
      <c r="L385">
        <v>52</v>
      </c>
      <c r="M385" s="1">
        <v>-416.66666666666669</v>
      </c>
      <c r="N385">
        <v>86</v>
      </c>
      <c r="O385">
        <v>86</v>
      </c>
      <c r="P385" s="12">
        <v>86</v>
      </c>
      <c r="Q385" s="1">
        <v>-416.66666666666669</v>
      </c>
      <c r="R385">
        <v>0</v>
      </c>
      <c r="S385">
        <v>0</v>
      </c>
    </row>
    <row r="386" spans="1:19">
      <c r="A386" t="s">
        <v>46</v>
      </c>
      <c r="B386" s="1">
        <v>-416.66666666666669</v>
      </c>
      <c r="C386">
        <v>92</v>
      </c>
      <c r="D386">
        <v>168</v>
      </c>
      <c r="E386">
        <v>40</v>
      </c>
      <c r="F386">
        <v>88</v>
      </c>
      <c r="G386">
        <v>44</v>
      </c>
      <c r="H386">
        <v>0</v>
      </c>
      <c r="I386">
        <v>20</v>
      </c>
      <c r="J386" s="1">
        <v>-416.66666666666669</v>
      </c>
      <c r="K386">
        <v>44</v>
      </c>
      <c r="L386">
        <v>36</v>
      </c>
      <c r="M386" s="1">
        <v>-416.66666666666669</v>
      </c>
      <c r="N386">
        <v>86</v>
      </c>
      <c r="O386">
        <v>85</v>
      </c>
      <c r="P386">
        <v>84</v>
      </c>
      <c r="Q386" s="1">
        <v>-416.66666666666669</v>
      </c>
      <c r="R386">
        <v>0</v>
      </c>
      <c r="S386">
        <v>0</v>
      </c>
    </row>
    <row r="387" spans="1:19">
      <c r="A387" t="s">
        <v>46</v>
      </c>
      <c r="B387" s="1">
        <v>-416.66666666666669</v>
      </c>
      <c r="C387">
        <v>96</v>
      </c>
      <c r="D387">
        <v>168</v>
      </c>
      <c r="E387">
        <v>56</v>
      </c>
      <c r="F387">
        <v>128</v>
      </c>
      <c r="G387">
        <v>64</v>
      </c>
      <c r="H387">
        <v>0</v>
      </c>
      <c r="I387">
        <v>28</v>
      </c>
      <c r="J387" s="1">
        <v>-416.66666666666669</v>
      </c>
      <c r="K387">
        <v>46</v>
      </c>
      <c r="L387">
        <v>54</v>
      </c>
      <c r="M387" s="1">
        <v>-416.66666666666669</v>
      </c>
      <c r="N387">
        <v>88</v>
      </c>
      <c r="O387" s="12">
        <v>86</v>
      </c>
      <c r="P387" s="12">
        <v>84</v>
      </c>
      <c r="Q387" s="1">
        <v>-416.66666666666669</v>
      </c>
      <c r="R387">
        <v>0</v>
      </c>
      <c r="S387">
        <v>0</v>
      </c>
    </row>
    <row r="388" spans="1:19">
      <c r="A388" t="s">
        <v>46</v>
      </c>
      <c r="B388" s="1">
        <v>-416.66666666666669</v>
      </c>
      <c r="C388">
        <v>104</v>
      </c>
      <c r="D388">
        <v>164</v>
      </c>
      <c r="E388">
        <v>76</v>
      </c>
      <c r="F388">
        <v>196</v>
      </c>
      <c r="G388">
        <v>92</v>
      </c>
      <c r="H388">
        <v>0</v>
      </c>
      <c r="I388">
        <v>36</v>
      </c>
      <c r="J388" s="1">
        <v>-416.66666666666669</v>
      </c>
      <c r="K388">
        <v>53</v>
      </c>
      <c r="L388">
        <v>47</v>
      </c>
      <c r="M388" s="1">
        <v>-416.66666666666669</v>
      </c>
      <c r="N388">
        <v>88</v>
      </c>
      <c r="O388" s="12">
        <v>87</v>
      </c>
      <c r="P388" s="12">
        <v>86</v>
      </c>
      <c r="Q388" s="1">
        <v>-416.66666666666669</v>
      </c>
      <c r="R388">
        <v>0</v>
      </c>
      <c r="S388">
        <v>0</v>
      </c>
    </row>
    <row r="389" spans="1:19">
      <c r="A389" t="s">
        <v>46</v>
      </c>
      <c r="B389" s="1">
        <v>-416.66666666666669</v>
      </c>
      <c r="C389">
        <v>144</v>
      </c>
      <c r="D389">
        <v>164</v>
      </c>
      <c r="E389">
        <v>116</v>
      </c>
      <c r="F389">
        <v>300</v>
      </c>
      <c r="G389">
        <v>148</v>
      </c>
      <c r="H389">
        <v>0</v>
      </c>
      <c r="I389">
        <v>60</v>
      </c>
      <c r="J389" s="1">
        <v>-416.66666666666669</v>
      </c>
      <c r="K389">
        <v>30</v>
      </c>
      <c r="L389">
        <v>30</v>
      </c>
      <c r="M389" s="1">
        <v>-416.66666666666669</v>
      </c>
      <c r="N389">
        <v>86</v>
      </c>
      <c r="O389" s="12">
        <v>84</v>
      </c>
      <c r="P389" s="12">
        <v>82</v>
      </c>
      <c r="Q389" s="1">
        <v>-416.66666666666669</v>
      </c>
      <c r="R389">
        <v>0</v>
      </c>
      <c r="S389">
        <v>0</v>
      </c>
    </row>
    <row r="390" spans="1:19">
      <c r="A390" t="s">
        <v>46</v>
      </c>
      <c r="B390" s="1">
        <v>-416.66666666666669</v>
      </c>
      <c r="C390">
        <v>200</v>
      </c>
      <c r="D390">
        <v>156</v>
      </c>
      <c r="E390">
        <v>172</v>
      </c>
      <c r="F390">
        <v>356</v>
      </c>
      <c r="G390">
        <v>216</v>
      </c>
      <c r="H390">
        <v>0</v>
      </c>
      <c r="I390">
        <v>108</v>
      </c>
      <c r="J390" s="1">
        <v>-416.66666666666669</v>
      </c>
      <c r="K390">
        <v>35</v>
      </c>
      <c r="L390">
        <v>45</v>
      </c>
      <c r="M390" s="1">
        <v>-416.66666666666669</v>
      </c>
      <c r="N390">
        <v>82</v>
      </c>
      <c r="O390" s="12">
        <v>83</v>
      </c>
      <c r="P390">
        <v>84</v>
      </c>
      <c r="Q390" s="1">
        <v>-416.66666666666669</v>
      </c>
      <c r="R390">
        <v>0</v>
      </c>
      <c r="S390">
        <v>0</v>
      </c>
    </row>
    <row r="391" spans="1:19">
      <c r="A391" t="s">
        <v>46</v>
      </c>
      <c r="B391" s="1">
        <v>-416.66666666666669</v>
      </c>
      <c r="C391">
        <v>280</v>
      </c>
      <c r="D391">
        <v>156</v>
      </c>
      <c r="E391">
        <v>144</v>
      </c>
      <c r="F391">
        <v>164</v>
      </c>
      <c r="G391">
        <v>192</v>
      </c>
      <c r="H391">
        <v>0</v>
      </c>
      <c r="I391">
        <v>152</v>
      </c>
      <c r="J391" s="1">
        <v>-416.66666666666669</v>
      </c>
      <c r="K391">
        <v>63</v>
      </c>
      <c r="L391">
        <v>57</v>
      </c>
      <c r="M391" s="1">
        <v>-416.66666666666669</v>
      </c>
      <c r="N391">
        <v>82</v>
      </c>
      <c r="O391" s="12">
        <v>82</v>
      </c>
      <c r="P391" s="12">
        <v>82</v>
      </c>
      <c r="Q391" s="1">
        <v>-416.66666666666669</v>
      </c>
      <c r="R391">
        <v>0</v>
      </c>
      <c r="S391">
        <v>0</v>
      </c>
    </row>
    <row r="392" spans="1:19">
      <c r="A392" t="s">
        <v>46</v>
      </c>
      <c r="B392" s="1">
        <v>-416.66666666666669</v>
      </c>
      <c r="C392">
        <v>392</v>
      </c>
      <c r="D392">
        <v>164</v>
      </c>
      <c r="E392">
        <v>124</v>
      </c>
      <c r="F392">
        <v>168</v>
      </c>
      <c r="G392">
        <v>192</v>
      </c>
      <c r="H392">
        <v>4</v>
      </c>
      <c r="I392">
        <v>172</v>
      </c>
      <c r="J392" s="1">
        <v>-416.66666666666669</v>
      </c>
      <c r="K392">
        <v>76</v>
      </c>
      <c r="L392">
        <v>64</v>
      </c>
      <c r="M392" s="1">
        <v>-416.66666666666669</v>
      </c>
      <c r="N392">
        <v>72</v>
      </c>
      <c r="O392" s="12">
        <v>72</v>
      </c>
      <c r="P392" s="12">
        <v>72</v>
      </c>
      <c r="Q392" s="1">
        <v>-416.66666666666669</v>
      </c>
      <c r="R392">
        <v>0</v>
      </c>
      <c r="S392">
        <v>0</v>
      </c>
    </row>
    <row r="393" spans="1:19">
      <c r="A393" t="s">
        <v>46</v>
      </c>
      <c r="B393" s="1">
        <v>-416.66666666666669</v>
      </c>
      <c r="C393">
        <v>452</v>
      </c>
      <c r="D393">
        <v>188</v>
      </c>
      <c r="E393">
        <v>76</v>
      </c>
      <c r="F393">
        <v>204</v>
      </c>
      <c r="G393">
        <v>112</v>
      </c>
      <c r="H393">
        <v>16</v>
      </c>
      <c r="I393">
        <v>168</v>
      </c>
      <c r="J393" s="1">
        <v>-416.66666666666669</v>
      </c>
      <c r="K393">
        <v>100</v>
      </c>
      <c r="L393">
        <v>34</v>
      </c>
      <c r="M393" s="1">
        <v>-416.66666666666669</v>
      </c>
      <c r="N393">
        <v>70</v>
      </c>
      <c r="O393" s="12">
        <v>58</v>
      </c>
      <c r="P393">
        <v>46</v>
      </c>
      <c r="Q393" s="1">
        <v>-416.66666666666669</v>
      </c>
      <c r="R393">
        <v>4</v>
      </c>
      <c r="S393">
        <v>0</v>
      </c>
    </row>
    <row r="394" spans="1:19">
      <c r="A394" t="s">
        <v>46</v>
      </c>
      <c r="B394" s="1">
        <v>-416.66666666666669</v>
      </c>
      <c r="C394">
        <v>432</v>
      </c>
      <c r="D394">
        <v>192</v>
      </c>
      <c r="E394">
        <v>80</v>
      </c>
      <c r="F394">
        <v>0</v>
      </c>
      <c r="G394">
        <v>184</v>
      </c>
      <c r="H394">
        <v>24</v>
      </c>
      <c r="I394">
        <v>340</v>
      </c>
      <c r="J394" s="1">
        <v>-416.66666666666669</v>
      </c>
      <c r="K394">
        <v>38</v>
      </c>
      <c r="L394">
        <v>-58</v>
      </c>
      <c r="M394" s="1">
        <v>-416.66666666666669</v>
      </c>
      <c r="N394">
        <v>158</v>
      </c>
      <c r="O394" s="12">
        <v>94</v>
      </c>
      <c r="P394">
        <v>30</v>
      </c>
      <c r="Q394" s="1">
        <v>-416.66666666666669</v>
      </c>
      <c r="R394">
        <v>8</v>
      </c>
      <c r="S394">
        <v>2</v>
      </c>
    </row>
    <row r="395" spans="1:19">
      <c r="A395" t="s">
        <v>46</v>
      </c>
      <c r="B395" s="1">
        <v>-416.66666666666669</v>
      </c>
      <c r="C395">
        <v>328</v>
      </c>
      <c r="D395">
        <v>200</v>
      </c>
      <c r="E395">
        <v>96</v>
      </c>
      <c r="F395">
        <v>0</v>
      </c>
      <c r="G395">
        <v>208</v>
      </c>
      <c r="H395">
        <v>20</v>
      </c>
      <c r="I395">
        <v>412</v>
      </c>
      <c r="J395" s="1">
        <v>-416.66666666666669</v>
      </c>
      <c r="K395">
        <v>90</v>
      </c>
      <c r="L395">
        <v>50</v>
      </c>
      <c r="M395" s="1">
        <v>-416.66666666666669</v>
      </c>
      <c r="N395">
        <v>132</v>
      </c>
      <c r="O395" s="12">
        <v>66</v>
      </c>
      <c r="P395" s="12">
        <v>0</v>
      </c>
      <c r="Q395" s="1">
        <v>-416.66666666666669</v>
      </c>
      <c r="R395">
        <v>10</v>
      </c>
      <c r="S395">
        <v>4</v>
      </c>
    </row>
    <row r="396" spans="1:19">
      <c r="A396" t="s">
        <v>46</v>
      </c>
      <c r="B396" s="1">
        <v>-416.66666666666669</v>
      </c>
      <c r="C396">
        <v>312</v>
      </c>
      <c r="D396">
        <v>212</v>
      </c>
      <c r="E396">
        <v>108</v>
      </c>
      <c r="F396">
        <v>8</v>
      </c>
      <c r="G396">
        <v>188</v>
      </c>
      <c r="H396">
        <v>8</v>
      </c>
      <c r="I396">
        <v>424</v>
      </c>
      <c r="J396" s="1">
        <v>-416.66666666666669</v>
      </c>
      <c r="K396">
        <v>92</v>
      </c>
      <c r="L396">
        <v>10</v>
      </c>
      <c r="M396" s="1">
        <v>-416.66666666666669</v>
      </c>
      <c r="N396">
        <v>146</v>
      </c>
      <c r="O396" s="12">
        <v>77</v>
      </c>
      <c r="P396" s="12">
        <v>8</v>
      </c>
      <c r="Q396" s="1">
        <v>-416.66666666666669</v>
      </c>
      <c r="R396">
        <v>12</v>
      </c>
      <c r="S396">
        <v>4</v>
      </c>
    </row>
    <row r="397" spans="1:19">
      <c r="A397" t="s">
        <v>46</v>
      </c>
      <c r="B397" s="1">
        <v>-416.66666666666669</v>
      </c>
      <c r="C397">
        <v>400</v>
      </c>
      <c r="D397">
        <v>208</v>
      </c>
      <c r="E397">
        <v>96</v>
      </c>
      <c r="F397">
        <v>8</v>
      </c>
      <c r="G397">
        <v>156</v>
      </c>
      <c r="H397">
        <v>0</v>
      </c>
      <c r="I397">
        <v>248</v>
      </c>
      <c r="J397" s="1">
        <v>-416.66666666666669</v>
      </c>
      <c r="K397">
        <v>75</v>
      </c>
      <c r="L397">
        <v>65</v>
      </c>
      <c r="M397" s="1">
        <v>-416.66666666666669</v>
      </c>
      <c r="N397">
        <v>140</v>
      </c>
      <c r="O397" s="12">
        <v>85</v>
      </c>
      <c r="P397" s="12">
        <v>30</v>
      </c>
      <c r="Q397" s="1">
        <v>-416.66666666666669</v>
      </c>
      <c r="R397">
        <v>10</v>
      </c>
      <c r="S397">
        <v>0</v>
      </c>
    </row>
    <row r="398" spans="1:19">
      <c r="A398" t="s">
        <v>46</v>
      </c>
      <c r="B398" s="1">
        <v>-416.66666666666669</v>
      </c>
      <c r="C398">
        <v>460</v>
      </c>
      <c r="D398">
        <v>176</v>
      </c>
      <c r="E398">
        <v>96</v>
      </c>
      <c r="F398">
        <v>12</v>
      </c>
      <c r="G398">
        <v>140</v>
      </c>
      <c r="H398">
        <v>0</v>
      </c>
      <c r="I398">
        <v>164</v>
      </c>
      <c r="J398" s="1">
        <v>-416.66666666666669</v>
      </c>
      <c r="K398">
        <v>72</v>
      </c>
      <c r="L398">
        <v>68</v>
      </c>
      <c r="M398" s="1">
        <v>-416.66666666666669</v>
      </c>
      <c r="N398">
        <v>86</v>
      </c>
      <c r="O398">
        <v>65</v>
      </c>
      <c r="P398">
        <v>44</v>
      </c>
      <c r="Q398" s="1">
        <v>-416.66666666666669</v>
      </c>
      <c r="R398">
        <v>6</v>
      </c>
      <c r="S398">
        <v>0</v>
      </c>
    </row>
    <row r="399" spans="1:19">
      <c r="A399" t="s">
        <v>46</v>
      </c>
      <c r="B399" s="1">
        <v>-416.66666666666669</v>
      </c>
      <c r="C399">
        <v>460</v>
      </c>
      <c r="D399">
        <v>172</v>
      </c>
      <c r="E399">
        <v>92</v>
      </c>
      <c r="F399">
        <v>52</v>
      </c>
      <c r="G399">
        <v>128</v>
      </c>
      <c r="H399">
        <v>0</v>
      </c>
      <c r="I399">
        <v>132</v>
      </c>
      <c r="J399" s="1">
        <v>-416.66666666666669</v>
      </c>
      <c r="K399">
        <v>14</v>
      </c>
      <c r="L399">
        <v>-34</v>
      </c>
      <c r="M399" s="1">
        <v>-416.66666666666669</v>
      </c>
      <c r="N399">
        <v>110</v>
      </c>
      <c r="O399" s="12">
        <v>101</v>
      </c>
      <c r="P399">
        <v>92</v>
      </c>
      <c r="Q399" s="1">
        <v>-416.66666666666669</v>
      </c>
      <c r="R399">
        <v>4</v>
      </c>
      <c r="S399">
        <v>-2</v>
      </c>
    </row>
    <row r="400" spans="1:19">
      <c r="A400" t="s">
        <v>46</v>
      </c>
      <c r="B400" s="1">
        <v>-416.66666666666669</v>
      </c>
      <c r="C400">
        <v>432</v>
      </c>
      <c r="D400">
        <v>168</v>
      </c>
      <c r="E400">
        <v>80</v>
      </c>
      <c r="F400">
        <v>76</v>
      </c>
      <c r="G400">
        <v>120</v>
      </c>
      <c r="H400">
        <v>0</v>
      </c>
      <c r="I400">
        <v>120</v>
      </c>
      <c r="J400" s="1">
        <v>-416.66666666666669</v>
      </c>
      <c r="K400">
        <v>81</v>
      </c>
      <c r="L400">
        <v>59</v>
      </c>
      <c r="M400" s="1">
        <v>-416.66666666666669</v>
      </c>
      <c r="N400">
        <v>68</v>
      </c>
      <c r="O400" s="12">
        <v>38</v>
      </c>
      <c r="P400">
        <v>8</v>
      </c>
      <c r="Q400" s="1">
        <v>-416.66666666666669</v>
      </c>
      <c r="R400">
        <v>4</v>
      </c>
      <c r="S400">
        <v>-2</v>
      </c>
    </row>
    <row r="401" spans="1:19">
      <c r="A401" t="s">
        <v>46</v>
      </c>
      <c r="B401" s="1">
        <v>-416.66666666666669</v>
      </c>
      <c r="C401">
        <v>464</v>
      </c>
      <c r="D401">
        <v>164</v>
      </c>
      <c r="E401">
        <v>80</v>
      </c>
      <c r="F401">
        <v>92</v>
      </c>
      <c r="G401">
        <v>116</v>
      </c>
      <c r="H401">
        <v>0</v>
      </c>
      <c r="I401">
        <v>120</v>
      </c>
      <c r="J401" s="1">
        <v>-416.66666666666669</v>
      </c>
      <c r="K401">
        <v>79</v>
      </c>
      <c r="L401">
        <v>61</v>
      </c>
      <c r="M401" s="1">
        <v>-416.66666666666669</v>
      </c>
      <c r="N401">
        <v>16</v>
      </c>
      <c r="O401">
        <v>15</v>
      </c>
      <c r="P401">
        <v>14</v>
      </c>
      <c r="Q401" s="1">
        <v>-416.66666666666669</v>
      </c>
      <c r="R401">
        <v>4</v>
      </c>
      <c r="S401">
        <v>-2</v>
      </c>
    </row>
    <row r="402" spans="1:19">
      <c r="A402" t="s">
        <v>46</v>
      </c>
      <c r="B402" s="1">
        <v>-416.66666666666669</v>
      </c>
      <c r="C402">
        <v>508</v>
      </c>
      <c r="D402">
        <v>164</v>
      </c>
      <c r="E402">
        <v>84</v>
      </c>
      <c r="F402">
        <v>88</v>
      </c>
      <c r="G402">
        <v>120</v>
      </c>
      <c r="H402">
        <v>0</v>
      </c>
      <c r="I402">
        <v>124</v>
      </c>
      <c r="J402" s="1">
        <v>-416.66666666666669</v>
      </c>
      <c r="K402">
        <v>81</v>
      </c>
      <c r="L402">
        <v>59</v>
      </c>
      <c r="M402" s="1">
        <v>-416.66666666666669</v>
      </c>
      <c r="N402">
        <v>32</v>
      </c>
      <c r="O402">
        <v>40</v>
      </c>
      <c r="P402">
        <v>48</v>
      </c>
      <c r="Q402" s="1">
        <v>-416.66666666666669</v>
      </c>
      <c r="R402">
        <v>4</v>
      </c>
      <c r="S402">
        <v>-2</v>
      </c>
    </row>
    <row r="403" spans="1:19">
      <c r="A403" t="s">
        <v>46</v>
      </c>
      <c r="B403" s="1">
        <v>-416.66666666666669</v>
      </c>
      <c r="C403">
        <v>564</v>
      </c>
      <c r="D403">
        <v>156</v>
      </c>
      <c r="E403">
        <v>96</v>
      </c>
      <c r="F403">
        <v>4</v>
      </c>
      <c r="G403">
        <v>112</v>
      </c>
      <c r="H403">
        <v>0</v>
      </c>
      <c r="I403">
        <v>120</v>
      </c>
      <c r="J403" s="1">
        <v>-416.66666666666669</v>
      </c>
      <c r="K403">
        <v>8</v>
      </c>
      <c r="L403">
        <v>-28</v>
      </c>
      <c r="M403" s="1">
        <v>-416.66666666666669</v>
      </c>
      <c r="N403">
        <v>114</v>
      </c>
      <c r="O403">
        <v>101</v>
      </c>
      <c r="P403">
        <v>88</v>
      </c>
      <c r="Q403" s="1">
        <v>-416.66666666666669</v>
      </c>
      <c r="R403">
        <v>2</v>
      </c>
      <c r="S403">
        <v>-4</v>
      </c>
    </row>
    <row r="404" spans="1:19">
      <c r="A404" t="s">
        <v>46</v>
      </c>
      <c r="B404" s="1">
        <v>-416.66666666666669</v>
      </c>
      <c r="C404">
        <v>556</v>
      </c>
      <c r="D404">
        <v>148</v>
      </c>
      <c r="E404">
        <v>96</v>
      </c>
      <c r="F404">
        <v>0</v>
      </c>
      <c r="G404">
        <v>112</v>
      </c>
      <c r="H404">
        <v>0</v>
      </c>
      <c r="I404">
        <v>120</v>
      </c>
      <c r="J404" s="1">
        <v>-416.66666666666669</v>
      </c>
      <c r="K404">
        <v>82</v>
      </c>
      <c r="L404">
        <v>58</v>
      </c>
      <c r="M404" s="1">
        <v>-416.66666666666669</v>
      </c>
      <c r="N404">
        <v>84</v>
      </c>
      <c r="O404">
        <v>58</v>
      </c>
      <c r="P404">
        <v>32</v>
      </c>
      <c r="Q404" s="1">
        <v>-416.66666666666669</v>
      </c>
      <c r="R404">
        <v>2</v>
      </c>
      <c r="S404">
        <v>-4</v>
      </c>
    </row>
    <row r="405" spans="1:19">
      <c r="A405" t="s">
        <v>46</v>
      </c>
      <c r="B405" s="1">
        <v>-416.66666666666669</v>
      </c>
      <c r="C405">
        <v>564</v>
      </c>
      <c r="D405">
        <v>156</v>
      </c>
      <c r="E405">
        <v>100</v>
      </c>
      <c r="F405">
        <v>0</v>
      </c>
      <c r="G405">
        <v>116</v>
      </c>
      <c r="H405">
        <v>0</v>
      </c>
      <c r="I405">
        <v>112</v>
      </c>
      <c r="J405" s="1">
        <v>-416.66666666666669</v>
      </c>
      <c r="K405">
        <v>4</v>
      </c>
      <c r="L405">
        <v>-24</v>
      </c>
      <c r="M405" s="1">
        <v>-416.66666666666669</v>
      </c>
      <c r="N405">
        <v>114</v>
      </c>
      <c r="O405">
        <v>90</v>
      </c>
      <c r="P405">
        <v>66</v>
      </c>
      <c r="Q405" s="1">
        <v>-416.66666666666669</v>
      </c>
      <c r="R405">
        <v>2</v>
      </c>
      <c r="S405">
        <v>-4</v>
      </c>
    </row>
    <row r="406" spans="1:19">
      <c r="A406" t="s">
        <v>46</v>
      </c>
      <c r="B406" s="1">
        <v>-416.66666666666669</v>
      </c>
      <c r="C406">
        <v>548</v>
      </c>
      <c r="D406">
        <v>156</v>
      </c>
      <c r="E406">
        <v>96</v>
      </c>
      <c r="F406">
        <v>12</v>
      </c>
      <c r="G406">
        <v>124</v>
      </c>
      <c r="H406">
        <v>0</v>
      </c>
      <c r="I406">
        <v>112</v>
      </c>
      <c r="J406" s="1">
        <v>-416.66666666666669</v>
      </c>
      <c r="K406">
        <v>79</v>
      </c>
      <c r="L406">
        <v>61</v>
      </c>
      <c r="M406" s="1">
        <v>-416.66666666666669</v>
      </c>
      <c r="N406">
        <v>92</v>
      </c>
      <c r="O406">
        <v>70</v>
      </c>
      <c r="P406">
        <v>48</v>
      </c>
      <c r="Q406" s="1">
        <v>-416.66666666666669</v>
      </c>
      <c r="R406">
        <v>2</v>
      </c>
      <c r="S406">
        <v>-4</v>
      </c>
    </row>
    <row r="407" spans="1:19">
      <c r="A407" t="s">
        <v>46</v>
      </c>
      <c r="B407" s="1">
        <v>-416.66666666666669</v>
      </c>
      <c r="C407">
        <v>492</v>
      </c>
      <c r="D407">
        <v>156</v>
      </c>
      <c r="E407">
        <v>88</v>
      </c>
      <c r="F407">
        <v>64</v>
      </c>
      <c r="G407">
        <v>128</v>
      </c>
      <c r="H407">
        <v>0</v>
      </c>
      <c r="I407">
        <v>112</v>
      </c>
      <c r="J407" s="1">
        <v>-416.66666666666669</v>
      </c>
      <c r="K407">
        <v>86</v>
      </c>
      <c r="L407">
        <v>34</v>
      </c>
      <c r="M407" s="1">
        <v>-416.66666666666669</v>
      </c>
      <c r="N407">
        <v>94</v>
      </c>
      <c r="O407">
        <v>70</v>
      </c>
      <c r="P407">
        <v>46</v>
      </c>
      <c r="Q407" s="1">
        <v>-416.66666666666669</v>
      </c>
      <c r="R407">
        <v>4</v>
      </c>
      <c r="S407">
        <v>-4</v>
      </c>
    </row>
    <row r="408" spans="1:19">
      <c r="A408" t="s">
        <v>46</v>
      </c>
      <c r="B408" s="1">
        <v>-416.66666666666669</v>
      </c>
      <c r="C408">
        <v>504</v>
      </c>
      <c r="D408">
        <v>156</v>
      </c>
      <c r="E408">
        <v>84</v>
      </c>
      <c r="F408">
        <v>88</v>
      </c>
      <c r="G408">
        <v>128</v>
      </c>
      <c r="H408">
        <v>0</v>
      </c>
      <c r="I408">
        <v>112</v>
      </c>
      <c r="J408" s="1">
        <v>-416.66666666666669</v>
      </c>
      <c r="K408">
        <v>76</v>
      </c>
      <c r="L408">
        <v>64</v>
      </c>
      <c r="M408" s="1">
        <v>-416.66666666666669</v>
      </c>
      <c r="N408">
        <v>20</v>
      </c>
      <c r="O408">
        <v>16</v>
      </c>
      <c r="P408">
        <v>12</v>
      </c>
      <c r="Q408" s="1">
        <v>-416.66666666666669</v>
      </c>
      <c r="R408">
        <v>4</v>
      </c>
      <c r="S408">
        <v>-4</v>
      </c>
    </row>
    <row r="409" spans="1:19">
      <c r="A409" t="s">
        <v>46</v>
      </c>
      <c r="B409" s="1">
        <v>-416.66666666666669</v>
      </c>
      <c r="C409">
        <v>556</v>
      </c>
      <c r="D409">
        <v>152</v>
      </c>
      <c r="E409">
        <v>96</v>
      </c>
      <c r="F409">
        <v>80</v>
      </c>
      <c r="G409">
        <v>124</v>
      </c>
      <c r="H409">
        <v>0</v>
      </c>
      <c r="I409">
        <v>124</v>
      </c>
      <c r="J409" s="1">
        <v>-416.66666666666669</v>
      </c>
      <c r="K409">
        <v>78</v>
      </c>
      <c r="L409">
        <v>62</v>
      </c>
      <c r="M409" s="1">
        <v>-416.66666666666669</v>
      </c>
      <c r="N409">
        <v>18</v>
      </c>
      <c r="O409">
        <v>19</v>
      </c>
      <c r="P409">
        <v>20</v>
      </c>
      <c r="Q409" s="1">
        <v>-416.66666666666669</v>
      </c>
      <c r="R409">
        <v>4</v>
      </c>
      <c r="S409">
        <v>-4</v>
      </c>
    </row>
    <row r="410" spans="1:19">
      <c r="A410" t="s">
        <v>46</v>
      </c>
      <c r="B410" s="1">
        <v>-416.66666666666669</v>
      </c>
      <c r="C410">
        <v>620</v>
      </c>
      <c r="D410">
        <v>156</v>
      </c>
      <c r="E410">
        <v>108</v>
      </c>
      <c r="F410">
        <v>72</v>
      </c>
      <c r="G410">
        <v>116</v>
      </c>
      <c r="H410">
        <v>0</v>
      </c>
      <c r="I410">
        <v>116</v>
      </c>
      <c r="J410" s="1">
        <v>-416.66666666666669</v>
      </c>
      <c r="K410">
        <v>84</v>
      </c>
      <c r="L410">
        <v>56</v>
      </c>
      <c r="M410" s="1">
        <v>-416.66666666666669</v>
      </c>
      <c r="N410">
        <v>52</v>
      </c>
      <c r="O410">
        <v>52</v>
      </c>
      <c r="P410">
        <v>52</v>
      </c>
      <c r="Q410" s="1">
        <v>-416.66666666666669</v>
      </c>
      <c r="R410">
        <v>4</v>
      </c>
      <c r="S410">
        <v>-4</v>
      </c>
    </row>
    <row r="411" spans="1:19">
      <c r="A411" t="s">
        <v>46</v>
      </c>
      <c r="B411" s="1">
        <v>-416.66666666666669</v>
      </c>
      <c r="C411">
        <v>632</v>
      </c>
      <c r="D411">
        <v>136</v>
      </c>
      <c r="E411">
        <v>112</v>
      </c>
      <c r="F411">
        <v>4</v>
      </c>
      <c r="G411">
        <v>116</v>
      </c>
      <c r="H411">
        <v>0</v>
      </c>
      <c r="I411">
        <v>112</v>
      </c>
      <c r="J411" s="1">
        <v>-416.66666666666669</v>
      </c>
      <c r="K411">
        <v>1</v>
      </c>
      <c r="L411">
        <v>-21</v>
      </c>
      <c r="M411" s="1">
        <v>-416.66666666666669</v>
      </c>
      <c r="N411">
        <v>106</v>
      </c>
      <c r="O411">
        <v>93</v>
      </c>
      <c r="P411">
        <v>80</v>
      </c>
      <c r="Q411" s="1">
        <v>-416.66666666666669</v>
      </c>
      <c r="R411">
        <v>2</v>
      </c>
      <c r="S411">
        <v>-4</v>
      </c>
    </row>
    <row r="412" spans="1:19">
      <c r="A412" t="s">
        <v>46</v>
      </c>
      <c r="B412" s="1">
        <v>-416.66666666666669</v>
      </c>
      <c r="C412">
        <v>596</v>
      </c>
      <c r="D412">
        <v>128</v>
      </c>
      <c r="E412">
        <v>108</v>
      </c>
      <c r="F412">
        <v>12</v>
      </c>
      <c r="G412">
        <v>116</v>
      </c>
      <c r="H412">
        <v>0</v>
      </c>
      <c r="I412">
        <v>108</v>
      </c>
      <c r="J412" s="1">
        <v>-416.66666666666669</v>
      </c>
      <c r="K412">
        <v>76</v>
      </c>
      <c r="L412">
        <v>64</v>
      </c>
      <c r="M412" s="1">
        <v>-416.66666666666669</v>
      </c>
      <c r="N412">
        <v>90</v>
      </c>
      <c r="O412">
        <v>75</v>
      </c>
      <c r="P412">
        <v>60</v>
      </c>
      <c r="Q412" s="1">
        <v>-416.66666666666669</v>
      </c>
      <c r="R412">
        <v>2</v>
      </c>
      <c r="S412">
        <v>-6</v>
      </c>
    </row>
    <row r="413" spans="1:19">
      <c r="A413" t="s">
        <v>46</v>
      </c>
      <c r="B413" s="1">
        <v>-416.66666666666669</v>
      </c>
      <c r="C413">
        <v>596</v>
      </c>
      <c r="D413">
        <v>140</v>
      </c>
      <c r="E413">
        <v>108</v>
      </c>
      <c r="F413">
        <v>0</v>
      </c>
      <c r="G413">
        <v>124</v>
      </c>
      <c r="H413">
        <v>0</v>
      </c>
      <c r="I413">
        <v>100</v>
      </c>
      <c r="J413" s="1">
        <v>-416.66666666666669</v>
      </c>
      <c r="K413">
        <v>65</v>
      </c>
      <c r="L413">
        <v>55</v>
      </c>
      <c r="M413" s="1">
        <v>-416.66666666666669</v>
      </c>
      <c r="N413">
        <v>86</v>
      </c>
      <c r="O413">
        <v>73</v>
      </c>
      <c r="P413">
        <v>60</v>
      </c>
      <c r="Q413" s="1">
        <v>-416.66666666666669</v>
      </c>
      <c r="R413">
        <v>2</v>
      </c>
      <c r="S413">
        <v>-6</v>
      </c>
    </row>
    <row r="414" spans="1:19">
      <c r="A414" t="s">
        <v>46</v>
      </c>
      <c r="B414" s="1">
        <v>-416.66666666666669</v>
      </c>
      <c r="C414">
        <v>556</v>
      </c>
      <c r="D414">
        <v>148</v>
      </c>
      <c r="E414">
        <v>96</v>
      </c>
      <c r="F414">
        <v>76</v>
      </c>
      <c r="G414">
        <v>140</v>
      </c>
      <c r="H414">
        <v>0</v>
      </c>
      <c r="I414">
        <v>108</v>
      </c>
      <c r="J414" s="1">
        <v>-416.66666666666669</v>
      </c>
      <c r="K414">
        <v>83</v>
      </c>
      <c r="L414">
        <v>37</v>
      </c>
      <c r="M414" s="1">
        <v>-416.66666666666669</v>
      </c>
      <c r="N414">
        <v>102</v>
      </c>
      <c r="O414">
        <v>91</v>
      </c>
      <c r="P414">
        <v>80</v>
      </c>
      <c r="Q414" s="1">
        <v>-416.66666666666669</v>
      </c>
      <c r="R414">
        <v>2</v>
      </c>
      <c r="S414">
        <v>-6</v>
      </c>
    </row>
    <row r="415" spans="1:19">
      <c r="A415" t="s">
        <v>46</v>
      </c>
      <c r="B415" s="1">
        <v>-416.66666666666669</v>
      </c>
      <c r="C415">
        <v>528</v>
      </c>
      <c r="D415">
        <v>148</v>
      </c>
      <c r="E415">
        <v>88</v>
      </c>
      <c r="F415">
        <v>76</v>
      </c>
      <c r="G415">
        <v>132</v>
      </c>
      <c r="H415">
        <v>0</v>
      </c>
      <c r="I415">
        <v>112</v>
      </c>
      <c r="J415" s="1">
        <v>-416.66666666666669</v>
      </c>
      <c r="K415">
        <v>79</v>
      </c>
      <c r="L415">
        <v>61</v>
      </c>
      <c r="M415" s="1">
        <v>-416.66666666666669</v>
      </c>
      <c r="N415">
        <v>54</v>
      </c>
      <c r="O415">
        <v>37</v>
      </c>
      <c r="P415">
        <v>20</v>
      </c>
      <c r="Q415" s="1">
        <v>-416.66666666666669</v>
      </c>
      <c r="R415">
        <v>4</v>
      </c>
      <c r="S415">
        <v>-4</v>
      </c>
    </row>
    <row r="416" spans="1:19">
      <c r="A416" t="s">
        <v>46</v>
      </c>
      <c r="B416" s="1">
        <v>-416.66666666666669</v>
      </c>
      <c r="C416">
        <v>588</v>
      </c>
      <c r="D416">
        <v>144</v>
      </c>
      <c r="E416">
        <v>108</v>
      </c>
      <c r="F416">
        <v>0</v>
      </c>
      <c r="G416">
        <v>120</v>
      </c>
      <c r="H416">
        <v>0</v>
      </c>
      <c r="I416">
        <v>108</v>
      </c>
      <c r="J416" s="1">
        <v>-416.66666666666669</v>
      </c>
      <c r="K416">
        <v>75</v>
      </c>
      <c r="L416">
        <v>65</v>
      </c>
      <c r="M416" s="1">
        <v>-416.66666666666669</v>
      </c>
      <c r="N416">
        <v>16</v>
      </c>
      <c r="O416">
        <v>15</v>
      </c>
      <c r="P416">
        <v>14</v>
      </c>
      <c r="Q416" s="1">
        <v>-416.66666666666669</v>
      </c>
      <c r="R416">
        <v>2</v>
      </c>
      <c r="S416">
        <v>-6</v>
      </c>
    </row>
    <row r="417" spans="1:19">
      <c r="A417" t="s">
        <v>46</v>
      </c>
      <c r="B417" s="1">
        <v>-416.66666666666669</v>
      </c>
      <c r="C417">
        <v>664</v>
      </c>
      <c r="D417">
        <v>148</v>
      </c>
      <c r="E417">
        <v>128</v>
      </c>
      <c r="F417">
        <v>4</v>
      </c>
      <c r="G417">
        <v>120</v>
      </c>
      <c r="H417">
        <v>0</v>
      </c>
      <c r="I417">
        <v>104</v>
      </c>
      <c r="J417" s="1">
        <v>-416.66666666666669</v>
      </c>
      <c r="K417">
        <v>79</v>
      </c>
      <c r="L417">
        <v>61</v>
      </c>
      <c r="M417" s="1">
        <v>-416.66666666666669</v>
      </c>
      <c r="N417">
        <v>24</v>
      </c>
      <c r="O417">
        <v>24</v>
      </c>
      <c r="P417">
        <v>24</v>
      </c>
      <c r="Q417" s="1">
        <v>-416.66666666666669</v>
      </c>
      <c r="R417">
        <v>2</v>
      </c>
      <c r="S417">
        <v>-6</v>
      </c>
    </row>
    <row r="418" spans="1:19">
      <c r="A418" t="s">
        <v>46</v>
      </c>
      <c r="B418" s="1">
        <v>-416.66666666666669</v>
      </c>
      <c r="C418">
        <v>676</v>
      </c>
      <c r="D418">
        <v>152</v>
      </c>
      <c r="E418">
        <v>128</v>
      </c>
      <c r="F418">
        <v>0</v>
      </c>
      <c r="G418">
        <v>112</v>
      </c>
      <c r="H418">
        <v>0</v>
      </c>
      <c r="I418">
        <v>112</v>
      </c>
      <c r="J418" s="1">
        <v>-416.66666666666669</v>
      </c>
      <c r="K418">
        <v>85</v>
      </c>
      <c r="L418">
        <v>55</v>
      </c>
      <c r="M418" s="1">
        <v>-416.66666666666669</v>
      </c>
      <c r="N418">
        <v>54</v>
      </c>
      <c r="O418">
        <v>44</v>
      </c>
      <c r="P418">
        <v>34</v>
      </c>
      <c r="Q418" s="1">
        <v>-416.66666666666669</v>
      </c>
      <c r="R418">
        <v>2</v>
      </c>
      <c r="S418">
        <v>-6</v>
      </c>
    </row>
    <row r="419" spans="1:19">
      <c r="A419" t="s">
        <v>46</v>
      </c>
      <c r="B419" s="1">
        <v>-416.66666666666669</v>
      </c>
      <c r="C419">
        <v>696</v>
      </c>
      <c r="D419">
        <v>144</v>
      </c>
      <c r="E419">
        <v>136</v>
      </c>
      <c r="F419">
        <v>4</v>
      </c>
      <c r="G419">
        <v>112</v>
      </c>
      <c r="H419">
        <v>0</v>
      </c>
      <c r="I419">
        <v>116</v>
      </c>
      <c r="J419" s="1">
        <v>-416.66666666666669</v>
      </c>
      <c r="K419">
        <v>79</v>
      </c>
      <c r="L419">
        <v>61</v>
      </c>
      <c r="M419" s="1">
        <v>-416.66666666666669</v>
      </c>
      <c r="N419">
        <v>58</v>
      </c>
      <c r="O419">
        <v>46</v>
      </c>
      <c r="P419">
        <v>34</v>
      </c>
      <c r="Q419" s="1">
        <v>-416.66666666666669</v>
      </c>
      <c r="R419">
        <v>2</v>
      </c>
      <c r="S419">
        <v>-6</v>
      </c>
    </row>
    <row r="420" spans="1:19">
      <c r="A420" t="s">
        <v>46</v>
      </c>
      <c r="B420" s="1">
        <v>-416.66666666666669</v>
      </c>
      <c r="C420">
        <v>640</v>
      </c>
      <c r="D420">
        <v>140</v>
      </c>
      <c r="E420">
        <v>120</v>
      </c>
      <c r="F420">
        <v>8</v>
      </c>
      <c r="G420">
        <v>108</v>
      </c>
      <c r="H420">
        <v>0</v>
      </c>
      <c r="I420">
        <v>112</v>
      </c>
      <c r="J420" s="1">
        <v>-416.66666666666669</v>
      </c>
      <c r="K420">
        <v>84</v>
      </c>
      <c r="L420">
        <v>56</v>
      </c>
      <c r="M420" s="1">
        <v>-416.66666666666669</v>
      </c>
      <c r="N420">
        <v>86</v>
      </c>
      <c r="O420">
        <v>64</v>
      </c>
      <c r="P420">
        <v>42</v>
      </c>
      <c r="Q420" s="1">
        <v>-416.66666666666669</v>
      </c>
      <c r="R420">
        <v>2</v>
      </c>
      <c r="S420">
        <v>-6</v>
      </c>
    </row>
    <row r="421" spans="1:19">
      <c r="A421" t="s">
        <v>46</v>
      </c>
      <c r="B421" s="1">
        <v>-416.66666666666669</v>
      </c>
      <c r="C421">
        <v>604</v>
      </c>
      <c r="D421">
        <v>128</v>
      </c>
      <c r="E421">
        <v>108</v>
      </c>
      <c r="F421">
        <v>4</v>
      </c>
      <c r="G421">
        <v>108</v>
      </c>
      <c r="H421">
        <v>0</v>
      </c>
      <c r="I421">
        <v>112</v>
      </c>
      <c r="J421" s="1">
        <v>-416.66666666666669</v>
      </c>
      <c r="K421">
        <v>71</v>
      </c>
      <c r="L421">
        <v>29</v>
      </c>
      <c r="M421" s="1">
        <v>-416.66666666666669</v>
      </c>
      <c r="N421">
        <v>98</v>
      </c>
      <c r="O421">
        <v>79</v>
      </c>
      <c r="P421">
        <v>60</v>
      </c>
      <c r="Q421" s="1">
        <v>-416.66666666666669</v>
      </c>
      <c r="R421">
        <v>2</v>
      </c>
      <c r="S421">
        <v>-6</v>
      </c>
    </row>
    <row r="422" spans="1:19">
      <c r="A422" t="s">
        <v>46</v>
      </c>
      <c r="B422" s="1">
        <v>-416.66666666666669</v>
      </c>
      <c r="C422">
        <v>656</v>
      </c>
      <c r="D422">
        <v>136</v>
      </c>
      <c r="E422">
        <v>124</v>
      </c>
      <c r="F422">
        <v>12</v>
      </c>
      <c r="G422">
        <v>132</v>
      </c>
      <c r="H422">
        <v>0</v>
      </c>
      <c r="I422">
        <v>100</v>
      </c>
      <c r="J422" s="1">
        <v>-416.66666666666669</v>
      </c>
      <c r="K422">
        <v>50</v>
      </c>
      <c r="L422">
        <v>90</v>
      </c>
      <c r="M422" s="1">
        <v>-416.66666666666669</v>
      </c>
      <c r="N422">
        <v>44</v>
      </c>
      <c r="O422">
        <v>59</v>
      </c>
      <c r="P422">
        <v>74</v>
      </c>
      <c r="Q422" s="1">
        <v>-416.66666666666669</v>
      </c>
      <c r="R422">
        <v>0</v>
      </c>
      <c r="S422">
        <v>-8</v>
      </c>
    </row>
    <row r="423" spans="1:19">
      <c r="A423" t="s">
        <v>46</v>
      </c>
      <c r="B423" s="1">
        <v>-416.66666666666669</v>
      </c>
      <c r="C423">
        <v>692</v>
      </c>
      <c r="D423">
        <v>136</v>
      </c>
      <c r="E423">
        <v>132</v>
      </c>
      <c r="F423">
        <v>4</v>
      </c>
      <c r="G423">
        <v>140</v>
      </c>
      <c r="H423">
        <v>0</v>
      </c>
      <c r="I423">
        <v>92</v>
      </c>
      <c r="J423" s="1">
        <v>-416.66666666666669</v>
      </c>
      <c r="K423">
        <v>63</v>
      </c>
      <c r="L423">
        <v>57</v>
      </c>
      <c r="M423" s="1">
        <v>-416.66666666666669</v>
      </c>
      <c r="N423">
        <v>50</v>
      </c>
      <c r="O423">
        <v>76</v>
      </c>
      <c r="P423">
        <v>102</v>
      </c>
      <c r="Q423" s="1">
        <v>-416.66666666666669</v>
      </c>
      <c r="R423">
        <v>0</v>
      </c>
      <c r="S423">
        <v>-10</v>
      </c>
    </row>
    <row r="424" spans="1:19">
      <c r="A424" t="s">
        <v>46</v>
      </c>
      <c r="B424" s="1">
        <v>-416.66666666666669</v>
      </c>
      <c r="C424">
        <v>648</v>
      </c>
      <c r="D424">
        <v>140</v>
      </c>
      <c r="E424">
        <v>124</v>
      </c>
      <c r="F424">
        <v>4</v>
      </c>
      <c r="G424">
        <v>128</v>
      </c>
      <c r="H424">
        <v>0</v>
      </c>
      <c r="I424">
        <v>100</v>
      </c>
      <c r="J424" s="1">
        <v>-416.66666666666669</v>
      </c>
      <c r="K424">
        <v>75</v>
      </c>
      <c r="L424">
        <v>65</v>
      </c>
      <c r="M424" s="1">
        <v>-416.66666666666669</v>
      </c>
      <c r="N424">
        <v>8</v>
      </c>
      <c r="O424">
        <v>16</v>
      </c>
      <c r="P424">
        <v>24</v>
      </c>
      <c r="Q424" s="1">
        <v>-416.66666666666669</v>
      </c>
      <c r="R424">
        <v>0</v>
      </c>
      <c r="S424">
        <v>-8</v>
      </c>
    </row>
    <row r="425" spans="1:19">
      <c r="A425" t="s">
        <v>46</v>
      </c>
      <c r="B425" s="1">
        <v>-416.66666666666669</v>
      </c>
      <c r="C425">
        <v>680</v>
      </c>
      <c r="D425">
        <v>140</v>
      </c>
      <c r="E425">
        <v>128</v>
      </c>
      <c r="F425">
        <v>0</v>
      </c>
      <c r="G425">
        <v>124</v>
      </c>
      <c r="H425">
        <v>0</v>
      </c>
      <c r="I425">
        <v>104</v>
      </c>
      <c r="J425" s="1">
        <v>-416.66666666666669</v>
      </c>
      <c r="K425">
        <v>79</v>
      </c>
      <c r="L425">
        <v>61</v>
      </c>
      <c r="M425" s="1">
        <v>-416.66666666666669</v>
      </c>
      <c r="N425">
        <v>36</v>
      </c>
      <c r="O425">
        <v>32</v>
      </c>
      <c r="P425" s="12">
        <v>28</v>
      </c>
      <c r="Q425" s="1">
        <v>-416.66666666666669</v>
      </c>
      <c r="R425">
        <v>2</v>
      </c>
      <c r="S425">
        <v>-6</v>
      </c>
    </row>
    <row r="426" spans="1:19">
      <c r="A426" t="s">
        <v>46</v>
      </c>
      <c r="B426" s="1">
        <v>-416.66666666666669</v>
      </c>
      <c r="C426">
        <v>708</v>
      </c>
      <c r="D426">
        <v>140</v>
      </c>
      <c r="E426">
        <v>136</v>
      </c>
      <c r="F426">
        <v>0</v>
      </c>
      <c r="G426">
        <v>124</v>
      </c>
      <c r="H426">
        <v>0</v>
      </c>
      <c r="I426">
        <v>108</v>
      </c>
      <c r="J426" s="1">
        <v>-416.66666666666669</v>
      </c>
      <c r="K426">
        <v>70</v>
      </c>
      <c r="L426">
        <v>70</v>
      </c>
      <c r="M426" s="1">
        <v>-416.66666666666669</v>
      </c>
      <c r="N426">
        <v>68</v>
      </c>
      <c r="O426">
        <v>78</v>
      </c>
      <c r="P426">
        <v>88</v>
      </c>
      <c r="Q426" s="1">
        <v>-416.66666666666669</v>
      </c>
      <c r="R426">
        <v>0</v>
      </c>
      <c r="S426">
        <v>-8</v>
      </c>
    </row>
    <row r="427" spans="1:19">
      <c r="A427" t="s">
        <v>46</v>
      </c>
      <c r="B427" s="1">
        <v>-416.66666666666669</v>
      </c>
      <c r="C427">
        <v>700</v>
      </c>
      <c r="D427">
        <v>136</v>
      </c>
      <c r="E427">
        <v>136</v>
      </c>
      <c r="F427">
        <v>4</v>
      </c>
      <c r="G427">
        <v>120</v>
      </c>
      <c r="H427">
        <v>0</v>
      </c>
      <c r="I427">
        <v>104</v>
      </c>
      <c r="J427" s="1">
        <v>-416.66666666666669</v>
      </c>
      <c r="K427">
        <v>80</v>
      </c>
      <c r="L427">
        <v>60</v>
      </c>
      <c r="M427" s="1">
        <v>-416.66666666666669</v>
      </c>
      <c r="N427">
        <v>70</v>
      </c>
      <c r="O427">
        <v>59</v>
      </c>
      <c r="P427" s="12">
        <v>48</v>
      </c>
      <c r="Q427" s="1">
        <v>-416.66666666666669</v>
      </c>
      <c r="R427">
        <v>0</v>
      </c>
      <c r="S427">
        <v>-8</v>
      </c>
    </row>
    <row r="428" spans="1:19">
      <c r="A428" t="s">
        <v>46</v>
      </c>
      <c r="B428" s="1">
        <v>-416.66666666666669</v>
      </c>
      <c r="C428">
        <v>676</v>
      </c>
      <c r="D428">
        <v>128</v>
      </c>
      <c r="E428">
        <v>136</v>
      </c>
      <c r="F428">
        <v>24</v>
      </c>
      <c r="G428">
        <v>124</v>
      </c>
      <c r="H428">
        <v>0</v>
      </c>
      <c r="I428">
        <v>104</v>
      </c>
      <c r="J428" s="1">
        <v>-416.66666666666669</v>
      </c>
      <c r="K428">
        <v>59</v>
      </c>
      <c r="L428">
        <v>81</v>
      </c>
      <c r="M428" s="1">
        <v>-416.66666666666669</v>
      </c>
      <c r="N428">
        <v>40</v>
      </c>
      <c r="O428">
        <v>47</v>
      </c>
      <c r="P428" s="12">
        <v>54</v>
      </c>
      <c r="Q428" s="1">
        <v>-416.66666666666669</v>
      </c>
      <c r="R428">
        <v>0</v>
      </c>
      <c r="S428">
        <v>-8</v>
      </c>
    </row>
    <row r="429" spans="1:19">
      <c r="A429" t="s">
        <v>46</v>
      </c>
      <c r="B429" s="1">
        <v>-416.66666666666669</v>
      </c>
      <c r="C429">
        <v>472</v>
      </c>
      <c r="D429">
        <v>112</v>
      </c>
      <c r="E429">
        <v>68</v>
      </c>
      <c r="F429">
        <v>48</v>
      </c>
      <c r="G429">
        <v>104</v>
      </c>
      <c r="H429">
        <v>0</v>
      </c>
      <c r="I429">
        <v>108</v>
      </c>
      <c r="J429" s="1">
        <v>-416.66666666666669</v>
      </c>
      <c r="K429">
        <v>70</v>
      </c>
      <c r="L429">
        <v>70</v>
      </c>
      <c r="M429" s="1">
        <v>-416.66666666666669</v>
      </c>
      <c r="N429">
        <v>32</v>
      </c>
      <c r="O429">
        <v>36</v>
      </c>
      <c r="P429" s="12">
        <v>40</v>
      </c>
      <c r="Q429" s="1">
        <v>-416.66666666666669</v>
      </c>
      <c r="R429">
        <v>0</v>
      </c>
      <c r="S429">
        <v>-8</v>
      </c>
    </row>
    <row r="430" spans="1:19">
      <c r="A430" t="s">
        <v>46</v>
      </c>
      <c r="B430" s="1">
        <v>-416.66666666666669</v>
      </c>
      <c r="C430">
        <v>232</v>
      </c>
      <c r="D430">
        <v>100</v>
      </c>
      <c r="E430">
        <v>128</v>
      </c>
      <c r="F430">
        <v>236</v>
      </c>
      <c r="G430">
        <v>104</v>
      </c>
      <c r="H430">
        <v>0</v>
      </c>
      <c r="I430">
        <v>144</v>
      </c>
      <c r="J430" s="1">
        <v>-416.66666666666669</v>
      </c>
      <c r="K430">
        <v>67</v>
      </c>
      <c r="L430">
        <v>73</v>
      </c>
      <c r="M430" s="1">
        <v>-416.66666666666669</v>
      </c>
      <c r="N430">
        <v>26</v>
      </c>
      <c r="O430">
        <v>30</v>
      </c>
      <c r="P430" s="12">
        <v>34</v>
      </c>
      <c r="Q430" s="1">
        <v>-416.66666666666669</v>
      </c>
      <c r="R430">
        <v>0</v>
      </c>
      <c r="S430">
        <v>-8</v>
      </c>
    </row>
    <row r="431" spans="1:19">
      <c r="A431" t="s">
        <v>46</v>
      </c>
      <c r="B431" s="1">
        <v>-416.66666666666669</v>
      </c>
      <c r="C431">
        <v>116</v>
      </c>
      <c r="D431">
        <v>88</v>
      </c>
      <c r="E431">
        <v>156</v>
      </c>
      <c r="F431">
        <v>228</v>
      </c>
      <c r="G431">
        <v>168</v>
      </c>
      <c r="H431">
        <v>4</v>
      </c>
      <c r="I431">
        <v>260</v>
      </c>
      <c r="J431" s="1">
        <v>-416.66666666666669</v>
      </c>
      <c r="K431">
        <v>73</v>
      </c>
      <c r="L431">
        <v>67</v>
      </c>
      <c r="M431" s="1">
        <v>-416.66666666666669</v>
      </c>
      <c r="N431">
        <v>78</v>
      </c>
      <c r="O431">
        <v>77</v>
      </c>
      <c r="P431" s="12">
        <v>76</v>
      </c>
      <c r="Q431" s="1">
        <v>-416.66666666666669</v>
      </c>
      <c r="R431">
        <v>-2</v>
      </c>
      <c r="S431">
        <v>-8</v>
      </c>
    </row>
    <row r="432" spans="1:19">
      <c r="A432" t="s">
        <v>46</v>
      </c>
      <c r="B432" s="1">
        <v>-416.66666666666669</v>
      </c>
      <c r="C432">
        <v>48</v>
      </c>
      <c r="D432">
        <v>72</v>
      </c>
      <c r="E432">
        <v>144</v>
      </c>
      <c r="F432">
        <v>216</v>
      </c>
      <c r="G432">
        <v>64</v>
      </c>
      <c r="H432">
        <v>44</v>
      </c>
      <c r="I432">
        <v>616</v>
      </c>
      <c r="J432" s="1">
        <v>-416.66666666666669</v>
      </c>
      <c r="K432">
        <v>89</v>
      </c>
      <c r="L432">
        <v>51</v>
      </c>
      <c r="M432" s="1">
        <v>-416.66666666666669</v>
      </c>
      <c r="N432">
        <v>72</v>
      </c>
      <c r="O432">
        <v>70</v>
      </c>
      <c r="P432" s="12">
        <v>68</v>
      </c>
      <c r="Q432" s="1">
        <v>-416.66666666666669</v>
      </c>
      <c r="R432">
        <v>0</v>
      </c>
      <c r="S432">
        <v>-6</v>
      </c>
    </row>
    <row r="433" spans="1:19">
      <c r="A433" t="s">
        <v>46</v>
      </c>
      <c r="B433" s="1">
        <v>-416.66666666666669</v>
      </c>
      <c r="C433">
        <v>16</v>
      </c>
      <c r="D433">
        <v>36</v>
      </c>
      <c r="E433">
        <v>108</v>
      </c>
      <c r="F433">
        <v>164</v>
      </c>
      <c r="G433">
        <v>80</v>
      </c>
      <c r="H433">
        <v>80</v>
      </c>
      <c r="I433">
        <v>772</v>
      </c>
      <c r="J433" s="1">
        <v>-416.66666666666669</v>
      </c>
      <c r="K433">
        <v>77</v>
      </c>
      <c r="L433">
        <v>63</v>
      </c>
      <c r="M433" s="1">
        <v>-416.66666666666669</v>
      </c>
      <c r="N433">
        <v>66</v>
      </c>
      <c r="O433">
        <v>53</v>
      </c>
      <c r="P433" s="12">
        <v>40</v>
      </c>
      <c r="Q433" s="1">
        <v>-416.66666666666669</v>
      </c>
      <c r="R433">
        <v>0</v>
      </c>
      <c r="S433">
        <v>-6</v>
      </c>
    </row>
    <row r="434" spans="1:19">
      <c r="A434" t="s">
        <v>46</v>
      </c>
      <c r="B434" s="1">
        <v>-416.66666666666669</v>
      </c>
      <c r="C434">
        <v>20</v>
      </c>
      <c r="D434">
        <v>0</v>
      </c>
      <c r="E434">
        <v>84</v>
      </c>
      <c r="F434">
        <v>192</v>
      </c>
      <c r="G434">
        <v>84</v>
      </c>
      <c r="H434">
        <v>96</v>
      </c>
      <c r="I434">
        <v>1000</v>
      </c>
      <c r="J434" s="1">
        <v>-416.66666666666669</v>
      </c>
      <c r="K434">
        <v>71</v>
      </c>
      <c r="L434">
        <v>69</v>
      </c>
      <c r="M434" s="1">
        <v>-416.66666666666669</v>
      </c>
      <c r="N434">
        <v>58</v>
      </c>
      <c r="O434">
        <v>52</v>
      </c>
      <c r="P434" s="12">
        <v>46</v>
      </c>
      <c r="Q434" s="1">
        <v>-416.66666666666669</v>
      </c>
      <c r="R434">
        <v>2</v>
      </c>
      <c r="S434">
        <v>-6</v>
      </c>
    </row>
    <row r="435" spans="1:19">
      <c r="A435" t="s">
        <v>46</v>
      </c>
      <c r="B435" s="1">
        <v>-416.66666666666669</v>
      </c>
      <c r="C435">
        <v>32</v>
      </c>
      <c r="D435">
        <v>0</v>
      </c>
      <c r="E435">
        <v>48</v>
      </c>
      <c r="F435">
        <v>208</v>
      </c>
      <c r="G435">
        <v>200</v>
      </c>
      <c r="H435">
        <v>40</v>
      </c>
      <c r="I435">
        <v>704</v>
      </c>
      <c r="J435" s="1">
        <v>-416.66666666666669</v>
      </c>
      <c r="K435">
        <v>93</v>
      </c>
      <c r="L435">
        <v>27</v>
      </c>
      <c r="M435" s="1">
        <v>-416.66666666666669</v>
      </c>
      <c r="N435">
        <v>118</v>
      </c>
      <c r="O435">
        <v>88</v>
      </c>
      <c r="P435">
        <v>58</v>
      </c>
      <c r="Q435" s="1">
        <v>-416.66666666666669</v>
      </c>
      <c r="R435">
        <v>6</v>
      </c>
      <c r="S435">
        <v>-6</v>
      </c>
    </row>
    <row r="436" spans="1:19">
      <c r="A436" t="s">
        <v>46</v>
      </c>
      <c r="B436" s="1">
        <v>-416.66666666666669</v>
      </c>
      <c r="C436">
        <v>44</v>
      </c>
      <c r="D436">
        <v>0</v>
      </c>
      <c r="E436">
        <v>44</v>
      </c>
      <c r="F436">
        <v>132</v>
      </c>
      <c r="G436">
        <v>176</v>
      </c>
      <c r="H436">
        <v>16</v>
      </c>
      <c r="I436">
        <v>476</v>
      </c>
      <c r="J436" s="1">
        <v>-416.66666666666669</v>
      </c>
      <c r="K436">
        <v>90</v>
      </c>
      <c r="L436">
        <v>50</v>
      </c>
      <c r="M436" s="1">
        <v>-416.66666666666669</v>
      </c>
      <c r="N436">
        <v>130</v>
      </c>
      <c r="O436">
        <v>70</v>
      </c>
      <c r="P436" s="12">
        <v>10</v>
      </c>
      <c r="Q436" s="1">
        <v>-416.66666666666669</v>
      </c>
      <c r="R436">
        <v>8</v>
      </c>
      <c r="S436">
        <v>-6</v>
      </c>
    </row>
    <row r="437" spans="1:19">
      <c r="A437" t="s">
        <v>46</v>
      </c>
      <c r="B437" s="1">
        <v>-416.66666666666669</v>
      </c>
      <c r="C437">
        <v>60</v>
      </c>
      <c r="D437">
        <v>0</v>
      </c>
      <c r="E437">
        <v>76</v>
      </c>
      <c r="F437">
        <v>152</v>
      </c>
      <c r="G437">
        <v>164</v>
      </c>
      <c r="H437">
        <v>8</v>
      </c>
      <c r="I437">
        <v>660</v>
      </c>
      <c r="J437" s="1">
        <v>-416.66666666666669</v>
      </c>
      <c r="K437">
        <v>25</v>
      </c>
      <c r="L437">
        <v>-65</v>
      </c>
      <c r="M437" s="1">
        <v>-416.66666666666669</v>
      </c>
      <c r="N437">
        <v>158</v>
      </c>
      <c r="O437">
        <v>100</v>
      </c>
      <c r="P437" s="12">
        <v>42</v>
      </c>
      <c r="Q437" s="1">
        <v>-416.66666666666669</v>
      </c>
      <c r="R437">
        <v>10</v>
      </c>
      <c r="S437">
        <v>-4</v>
      </c>
    </row>
    <row r="438" spans="1:19">
      <c r="A438" t="s">
        <v>46</v>
      </c>
      <c r="B438" s="1">
        <v>-416.66666666666669</v>
      </c>
      <c r="C438">
        <v>152</v>
      </c>
      <c r="D438">
        <v>0</v>
      </c>
      <c r="E438">
        <v>84</v>
      </c>
      <c r="F438">
        <v>172</v>
      </c>
      <c r="G438">
        <v>120</v>
      </c>
      <c r="H438">
        <v>0</v>
      </c>
      <c r="I438">
        <v>540</v>
      </c>
      <c r="J438" s="1">
        <v>-416.66666666666669</v>
      </c>
      <c r="K438">
        <v>90</v>
      </c>
      <c r="L438">
        <v>50</v>
      </c>
      <c r="M438" s="1">
        <v>-416.66666666666669</v>
      </c>
      <c r="N438">
        <v>126</v>
      </c>
      <c r="O438">
        <v>61</v>
      </c>
      <c r="P438" s="12">
        <v>-4</v>
      </c>
      <c r="Q438" s="1">
        <v>-416.66666666666669</v>
      </c>
      <c r="R438">
        <v>10</v>
      </c>
      <c r="S438">
        <v>-4</v>
      </c>
    </row>
    <row r="439" spans="1:19">
      <c r="A439" t="s">
        <v>46</v>
      </c>
      <c r="B439" s="1">
        <v>-416.66666666666669</v>
      </c>
      <c r="C439">
        <v>412</v>
      </c>
      <c r="D439">
        <v>0</v>
      </c>
      <c r="E439">
        <v>92</v>
      </c>
      <c r="F439">
        <v>176</v>
      </c>
      <c r="G439">
        <v>96</v>
      </c>
      <c r="H439">
        <v>0</v>
      </c>
      <c r="I439">
        <v>228</v>
      </c>
      <c r="J439" s="1">
        <v>-416.66666666666669</v>
      </c>
      <c r="K439">
        <v>41</v>
      </c>
      <c r="L439">
        <v>-41</v>
      </c>
      <c r="M439" s="1">
        <v>-416.66666666666669</v>
      </c>
      <c r="N439">
        <v>138</v>
      </c>
      <c r="O439" s="12">
        <v>83</v>
      </c>
      <c r="P439" s="12">
        <v>28</v>
      </c>
      <c r="Q439" s="1">
        <v>-416.66666666666669</v>
      </c>
      <c r="R439">
        <v>10</v>
      </c>
      <c r="S439">
        <v>-4</v>
      </c>
    </row>
    <row r="440" spans="1:19">
      <c r="A440" t="s">
        <v>46</v>
      </c>
      <c r="B440" s="1">
        <v>-416.66666666666669</v>
      </c>
      <c r="C440">
        <v>628</v>
      </c>
      <c r="D440">
        <v>8</v>
      </c>
      <c r="E440">
        <v>132</v>
      </c>
      <c r="F440">
        <v>184</v>
      </c>
      <c r="G440">
        <v>120</v>
      </c>
      <c r="H440">
        <v>0</v>
      </c>
      <c r="I440">
        <v>68</v>
      </c>
      <c r="J440" s="1">
        <v>-416.66666666666669</v>
      </c>
      <c r="K440">
        <v>90</v>
      </c>
      <c r="L440">
        <v>50</v>
      </c>
      <c r="M440" s="1">
        <v>-416.66666666666669</v>
      </c>
      <c r="N440">
        <v>132</v>
      </c>
      <c r="O440" s="12">
        <v>77</v>
      </c>
      <c r="P440" s="12">
        <v>22</v>
      </c>
      <c r="Q440" s="1">
        <v>-416.66666666666669</v>
      </c>
      <c r="R440">
        <v>10</v>
      </c>
      <c r="S440">
        <v>-4</v>
      </c>
    </row>
    <row r="441" spans="1:19">
      <c r="A441" t="s">
        <v>46</v>
      </c>
      <c r="B441" s="1">
        <v>-416.66666666666669</v>
      </c>
      <c r="C441">
        <v>256</v>
      </c>
      <c r="D441">
        <v>8</v>
      </c>
      <c r="E441">
        <v>120</v>
      </c>
      <c r="F441">
        <v>236</v>
      </c>
      <c r="G441">
        <v>156</v>
      </c>
      <c r="H441">
        <v>0</v>
      </c>
      <c r="I441">
        <v>84</v>
      </c>
      <c r="J441" s="1">
        <v>-416.66666666666669</v>
      </c>
      <c r="K441">
        <v>90</v>
      </c>
      <c r="L441">
        <v>50</v>
      </c>
      <c r="M441" s="1">
        <v>-416.66666666666669</v>
      </c>
      <c r="N441">
        <v>128</v>
      </c>
      <c r="O441" s="12">
        <v>66</v>
      </c>
      <c r="P441" s="12">
        <v>4</v>
      </c>
      <c r="Q441" s="1">
        <v>-416.66666666666669</v>
      </c>
      <c r="R441">
        <v>10</v>
      </c>
      <c r="S441">
        <v>-4</v>
      </c>
    </row>
    <row r="442" spans="1:19">
      <c r="A442" t="s">
        <v>46</v>
      </c>
      <c r="B442" s="1">
        <v>-416.66666666666669</v>
      </c>
      <c r="C442">
        <v>192</v>
      </c>
      <c r="D442">
        <v>0</v>
      </c>
      <c r="E442">
        <v>140</v>
      </c>
      <c r="F442">
        <v>256</v>
      </c>
      <c r="G442">
        <v>188</v>
      </c>
      <c r="H442">
        <v>0</v>
      </c>
      <c r="I442">
        <v>108</v>
      </c>
      <c r="J442" s="1">
        <v>-416.66666666666669</v>
      </c>
      <c r="K442">
        <v>47</v>
      </c>
      <c r="L442">
        <v>-47</v>
      </c>
      <c r="M442" s="1">
        <v>-416.66666666666669</v>
      </c>
      <c r="N442">
        <v>150</v>
      </c>
      <c r="O442" s="12">
        <v>99</v>
      </c>
      <c r="P442" s="12">
        <v>48</v>
      </c>
      <c r="Q442" s="1">
        <v>-416.66666666666669</v>
      </c>
      <c r="R442">
        <v>12</v>
      </c>
      <c r="S442">
        <v>-4</v>
      </c>
    </row>
    <row r="443" spans="1:19">
      <c r="A443" t="s">
        <v>46</v>
      </c>
      <c r="B443" s="1">
        <v>-416.66666666666669</v>
      </c>
      <c r="C443">
        <v>172</v>
      </c>
      <c r="D443">
        <v>4</v>
      </c>
      <c r="E443">
        <v>148</v>
      </c>
      <c r="F443">
        <v>196</v>
      </c>
      <c r="G443">
        <v>196</v>
      </c>
      <c r="H443">
        <v>0</v>
      </c>
      <c r="I443">
        <v>124</v>
      </c>
      <c r="J443" s="1">
        <v>-416.66666666666669</v>
      </c>
      <c r="K443">
        <v>90</v>
      </c>
      <c r="L443">
        <v>50</v>
      </c>
      <c r="M443" s="1">
        <v>-416.66666666666669</v>
      </c>
      <c r="N443">
        <v>124</v>
      </c>
      <c r="O443" s="12">
        <v>54</v>
      </c>
      <c r="P443">
        <v>-16</v>
      </c>
      <c r="Q443" s="1">
        <v>-416.66666666666669</v>
      </c>
      <c r="R443">
        <v>12</v>
      </c>
      <c r="S443">
        <v>-2</v>
      </c>
    </row>
    <row r="444" spans="1:19">
      <c r="A444" t="s">
        <v>46</v>
      </c>
      <c r="B444" s="1">
        <v>-416.66666666666669</v>
      </c>
      <c r="C444">
        <v>208</v>
      </c>
      <c r="D444">
        <v>0</v>
      </c>
      <c r="E444">
        <v>104</v>
      </c>
      <c r="F444">
        <v>128</v>
      </c>
      <c r="G444">
        <v>140</v>
      </c>
      <c r="H444">
        <v>0</v>
      </c>
      <c r="I444">
        <v>112</v>
      </c>
      <c r="J444" s="1">
        <v>-416.66666666666669</v>
      </c>
      <c r="K444">
        <v>91</v>
      </c>
      <c r="L444">
        <v>29</v>
      </c>
      <c r="M444" s="1">
        <v>-416.66666666666669</v>
      </c>
      <c r="N444">
        <v>104</v>
      </c>
      <c r="O444" s="12">
        <v>81</v>
      </c>
      <c r="P444" s="12">
        <v>58</v>
      </c>
      <c r="Q444" s="1">
        <v>-416.66666666666669</v>
      </c>
      <c r="R444">
        <v>12</v>
      </c>
      <c r="S444">
        <v>-4</v>
      </c>
    </row>
    <row r="445" spans="1:19">
      <c r="A445" t="s">
        <v>46</v>
      </c>
      <c r="B445" s="1">
        <v>-416.66666666666669</v>
      </c>
      <c r="C445">
        <v>200</v>
      </c>
      <c r="D445">
        <v>0</v>
      </c>
      <c r="E445">
        <v>120</v>
      </c>
      <c r="F445">
        <v>116</v>
      </c>
      <c r="G445">
        <v>164</v>
      </c>
      <c r="H445">
        <v>0</v>
      </c>
      <c r="I445">
        <v>120</v>
      </c>
      <c r="J445" s="1">
        <v>-416.66666666666669</v>
      </c>
      <c r="K445">
        <v>90</v>
      </c>
      <c r="L445">
        <v>50</v>
      </c>
      <c r="M445" s="1">
        <v>-416.66666666666669</v>
      </c>
      <c r="N445">
        <v>72</v>
      </c>
      <c r="O445" s="12">
        <v>40</v>
      </c>
      <c r="P445">
        <v>8</v>
      </c>
      <c r="Q445" s="1">
        <v>-416.66666666666669</v>
      </c>
      <c r="R445">
        <v>10</v>
      </c>
      <c r="S445">
        <v>-4</v>
      </c>
    </row>
    <row r="446" spans="1:19">
      <c r="A446" t="s">
        <v>46</v>
      </c>
      <c r="B446" s="1">
        <v>-416.66666666666669</v>
      </c>
      <c r="C446">
        <v>164</v>
      </c>
      <c r="D446">
        <v>0</v>
      </c>
      <c r="E446">
        <v>144</v>
      </c>
      <c r="F446">
        <v>180</v>
      </c>
      <c r="G446">
        <v>196</v>
      </c>
      <c r="H446">
        <v>0</v>
      </c>
      <c r="I446">
        <v>112</v>
      </c>
      <c r="J446" s="1">
        <v>-416.66666666666669</v>
      </c>
      <c r="K446">
        <v>31</v>
      </c>
      <c r="L446">
        <v>-51</v>
      </c>
      <c r="M446" s="1">
        <v>-416.66666666666669</v>
      </c>
      <c r="N446">
        <v>142</v>
      </c>
      <c r="O446">
        <v>98</v>
      </c>
      <c r="P446">
        <v>54</v>
      </c>
      <c r="Q446" s="1">
        <v>-416.66666666666669</v>
      </c>
      <c r="R446">
        <v>10</v>
      </c>
      <c r="S446">
        <v>-4</v>
      </c>
    </row>
    <row r="447" spans="1:19">
      <c r="A447" t="s">
        <v>46</v>
      </c>
      <c r="B447" s="1">
        <v>-416.66666666666669</v>
      </c>
      <c r="C447">
        <v>144</v>
      </c>
      <c r="D447">
        <v>0</v>
      </c>
      <c r="E447">
        <v>152</v>
      </c>
      <c r="F447">
        <v>240</v>
      </c>
      <c r="G447">
        <v>192</v>
      </c>
      <c r="H447">
        <v>4</v>
      </c>
      <c r="I447">
        <v>100</v>
      </c>
      <c r="J447" s="1">
        <v>-416.66666666666669</v>
      </c>
      <c r="K447">
        <v>80</v>
      </c>
      <c r="L447">
        <v>60</v>
      </c>
      <c r="M447" s="1">
        <v>-416.66666666666669</v>
      </c>
      <c r="N447">
        <v>104</v>
      </c>
      <c r="O447">
        <v>57</v>
      </c>
      <c r="P447">
        <v>10</v>
      </c>
      <c r="Q447" s="1">
        <v>-416.66666666666669</v>
      </c>
      <c r="R447">
        <v>8</v>
      </c>
      <c r="S447">
        <v>-6</v>
      </c>
    </row>
    <row r="448" spans="1:19">
      <c r="A448" t="s">
        <v>46</v>
      </c>
      <c r="B448" s="1">
        <v>-416.66666666666669</v>
      </c>
      <c r="C448">
        <v>136</v>
      </c>
      <c r="D448">
        <v>0</v>
      </c>
      <c r="E448">
        <v>156</v>
      </c>
      <c r="F448">
        <v>260</v>
      </c>
      <c r="G448">
        <v>164</v>
      </c>
      <c r="H448">
        <v>4</v>
      </c>
      <c r="I448">
        <v>72</v>
      </c>
      <c r="J448" s="1">
        <v>-416.66666666666669</v>
      </c>
      <c r="K448">
        <v>-2</v>
      </c>
      <c r="L448">
        <v>-18</v>
      </c>
      <c r="M448" s="1">
        <v>-416.66666666666669</v>
      </c>
      <c r="N448">
        <v>116</v>
      </c>
      <c r="O448">
        <v>90</v>
      </c>
      <c r="P448">
        <v>64</v>
      </c>
      <c r="Q448" s="1">
        <v>-416.66666666666669</v>
      </c>
      <c r="R448">
        <v>6</v>
      </c>
      <c r="S448">
        <v>-8</v>
      </c>
    </row>
    <row r="449" spans="1:19">
      <c r="A449" t="s">
        <v>46</v>
      </c>
      <c r="B449" s="1">
        <v>-416.66666666666669</v>
      </c>
      <c r="C449">
        <v>120</v>
      </c>
      <c r="D449">
        <v>0</v>
      </c>
      <c r="E449">
        <v>156</v>
      </c>
      <c r="F449">
        <v>244</v>
      </c>
      <c r="G449">
        <v>136</v>
      </c>
      <c r="H449">
        <v>8</v>
      </c>
      <c r="I449">
        <v>52</v>
      </c>
      <c r="J449" s="1">
        <v>-416.66666666666669</v>
      </c>
      <c r="K449">
        <v>76</v>
      </c>
      <c r="L449">
        <v>64</v>
      </c>
      <c r="M449" s="1">
        <v>-416.66666666666669</v>
      </c>
      <c r="N449">
        <v>70</v>
      </c>
      <c r="O449">
        <v>46</v>
      </c>
      <c r="P449">
        <v>22</v>
      </c>
      <c r="Q449" s="1">
        <v>-416.66666666666669</v>
      </c>
      <c r="R449">
        <v>4</v>
      </c>
      <c r="S449">
        <v>-10</v>
      </c>
    </row>
    <row r="450" spans="1:19">
      <c r="A450" t="s">
        <v>46</v>
      </c>
      <c r="B450" s="1">
        <v>-416.66666666666669</v>
      </c>
      <c r="C450">
        <v>124</v>
      </c>
      <c r="D450">
        <v>0</v>
      </c>
      <c r="E450">
        <v>160</v>
      </c>
      <c r="F450">
        <v>248</v>
      </c>
      <c r="G450">
        <v>132</v>
      </c>
      <c r="H450">
        <v>8</v>
      </c>
      <c r="I450">
        <v>48</v>
      </c>
      <c r="J450" s="1">
        <v>-416.66666666666669</v>
      </c>
      <c r="K450">
        <v>74</v>
      </c>
      <c r="L450">
        <v>66</v>
      </c>
      <c r="M450" s="1">
        <v>-416.66666666666669</v>
      </c>
      <c r="N450">
        <v>20</v>
      </c>
      <c r="O450">
        <v>10</v>
      </c>
      <c r="P450">
        <v>0</v>
      </c>
      <c r="Q450" s="1">
        <v>-416.66666666666669</v>
      </c>
      <c r="R450">
        <v>4</v>
      </c>
      <c r="S450">
        <v>-12</v>
      </c>
    </row>
    <row r="451" spans="1:19">
      <c r="A451" t="s">
        <v>46</v>
      </c>
      <c r="B451" s="1">
        <v>-416.66666666666669</v>
      </c>
      <c r="C451">
        <v>136</v>
      </c>
      <c r="D451">
        <v>0</v>
      </c>
      <c r="E451">
        <v>156</v>
      </c>
      <c r="F451">
        <v>256</v>
      </c>
      <c r="G451">
        <v>152</v>
      </c>
      <c r="H451">
        <v>0</v>
      </c>
      <c r="I451">
        <v>64</v>
      </c>
      <c r="J451" s="1">
        <v>-416.66666666666669</v>
      </c>
      <c r="K451">
        <v>100</v>
      </c>
      <c r="L451">
        <v>36</v>
      </c>
      <c r="M451" s="1">
        <v>-416.66666666666669</v>
      </c>
      <c r="N451">
        <v>108</v>
      </c>
      <c r="O451">
        <v>71</v>
      </c>
      <c r="P451">
        <v>34</v>
      </c>
      <c r="Q451" s="1">
        <v>-416.66666666666669</v>
      </c>
      <c r="R451">
        <v>4</v>
      </c>
      <c r="S451">
        <v>-10</v>
      </c>
    </row>
    <row r="452" spans="1:19">
      <c r="A452" t="s">
        <v>46</v>
      </c>
      <c r="B452" s="1">
        <v>-416.66666666666669</v>
      </c>
      <c r="C452">
        <v>140</v>
      </c>
      <c r="D452">
        <v>0</v>
      </c>
      <c r="E452">
        <v>156</v>
      </c>
      <c r="F452">
        <v>256</v>
      </c>
      <c r="G452">
        <v>172</v>
      </c>
      <c r="H452">
        <v>0</v>
      </c>
      <c r="I452">
        <v>76</v>
      </c>
      <c r="J452" s="1">
        <v>-416.66666666666669</v>
      </c>
      <c r="K452">
        <v>100</v>
      </c>
      <c r="L452">
        <v>29</v>
      </c>
      <c r="M452" s="1">
        <v>-416.66666666666669</v>
      </c>
      <c r="N452">
        <v>132</v>
      </c>
      <c r="O452">
        <v>72</v>
      </c>
      <c r="P452">
        <v>12</v>
      </c>
      <c r="Q452" s="1">
        <v>-416.66666666666669</v>
      </c>
      <c r="R452">
        <v>6</v>
      </c>
      <c r="S452">
        <v>-8</v>
      </c>
    </row>
    <row r="453" spans="1:19">
      <c r="A453" t="s">
        <v>46</v>
      </c>
      <c r="B453" s="1">
        <v>-416.66666666666669</v>
      </c>
      <c r="C453">
        <v>152</v>
      </c>
      <c r="D453">
        <v>0</v>
      </c>
      <c r="E453">
        <v>156</v>
      </c>
      <c r="F453">
        <v>228</v>
      </c>
      <c r="G453">
        <v>184</v>
      </c>
      <c r="H453">
        <v>0</v>
      </c>
      <c r="I453">
        <v>80</v>
      </c>
      <c r="J453" s="1">
        <v>-416.66666666666669</v>
      </c>
      <c r="K453">
        <v>83</v>
      </c>
      <c r="L453">
        <v>57</v>
      </c>
      <c r="M453" s="1">
        <v>-416.66666666666669</v>
      </c>
      <c r="N453">
        <v>76</v>
      </c>
      <c r="O453">
        <v>47</v>
      </c>
      <c r="P453">
        <v>18</v>
      </c>
      <c r="Q453" s="1">
        <v>-416.66666666666669</v>
      </c>
      <c r="R453">
        <v>6</v>
      </c>
      <c r="S453">
        <v>-8</v>
      </c>
    </row>
    <row r="454" spans="1:19">
      <c r="A454" t="s">
        <v>46</v>
      </c>
      <c r="B454" s="1">
        <v>-416.66666666666669</v>
      </c>
      <c r="C454">
        <v>224</v>
      </c>
      <c r="D454">
        <v>4</v>
      </c>
      <c r="E454">
        <v>116</v>
      </c>
      <c r="F454">
        <v>124</v>
      </c>
      <c r="G454">
        <v>180</v>
      </c>
      <c r="H454">
        <v>0</v>
      </c>
      <c r="I454">
        <v>92</v>
      </c>
      <c r="J454" s="1">
        <v>-416.66666666666669</v>
      </c>
      <c r="K454">
        <v>73</v>
      </c>
      <c r="L454">
        <v>67</v>
      </c>
      <c r="M454" s="1">
        <v>-416.66666666666669</v>
      </c>
      <c r="N454">
        <v>58</v>
      </c>
      <c r="O454">
        <v>47</v>
      </c>
      <c r="P454">
        <v>36</v>
      </c>
      <c r="Q454" s="1">
        <v>-416.66666666666669</v>
      </c>
      <c r="R454">
        <v>4</v>
      </c>
      <c r="S454">
        <v>-10</v>
      </c>
    </row>
    <row r="455" spans="1:19">
      <c r="A455" t="s">
        <v>46</v>
      </c>
      <c r="B455" s="1">
        <v>-416.66666666666669</v>
      </c>
      <c r="C455">
        <v>272</v>
      </c>
      <c r="D455">
        <v>4</v>
      </c>
      <c r="E455">
        <v>84</v>
      </c>
      <c r="F455">
        <v>116</v>
      </c>
      <c r="G455">
        <v>168</v>
      </c>
      <c r="H455">
        <v>0</v>
      </c>
      <c r="I455">
        <v>96</v>
      </c>
      <c r="J455" s="1">
        <v>-416.66666666666669</v>
      </c>
      <c r="K455">
        <v>11</v>
      </c>
      <c r="L455">
        <v>-51</v>
      </c>
      <c r="M455" s="1">
        <v>-416.66666666666669</v>
      </c>
      <c r="N455">
        <v>120</v>
      </c>
      <c r="O455">
        <v>102</v>
      </c>
      <c r="P455">
        <v>84</v>
      </c>
      <c r="Q455" s="1">
        <v>-416.66666666666669</v>
      </c>
      <c r="R455">
        <v>4</v>
      </c>
      <c r="S455">
        <v>-10</v>
      </c>
    </row>
    <row r="456" spans="1:19">
      <c r="A456" t="s">
        <v>46</v>
      </c>
      <c r="B456" s="1">
        <v>-416.66666666666669</v>
      </c>
      <c r="C456">
        <v>220</v>
      </c>
      <c r="D456">
        <v>0</v>
      </c>
      <c r="E456">
        <v>128</v>
      </c>
      <c r="F456">
        <v>140</v>
      </c>
      <c r="G456">
        <v>184</v>
      </c>
      <c r="H456">
        <v>0</v>
      </c>
      <c r="I456">
        <v>100</v>
      </c>
      <c r="J456" s="1">
        <v>-416.66666666666669</v>
      </c>
      <c r="K456">
        <v>90</v>
      </c>
      <c r="L456">
        <v>50</v>
      </c>
      <c r="M456" s="1">
        <v>-416.66666666666669</v>
      </c>
      <c r="N456">
        <v>104</v>
      </c>
      <c r="O456">
        <v>58</v>
      </c>
      <c r="P456">
        <v>12</v>
      </c>
      <c r="Q456" s="1">
        <v>-416.66666666666669</v>
      </c>
      <c r="R456">
        <v>6</v>
      </c>
      <c r="S456">
        <v>-10</v>
      </c>
    </row>
    <row r="457" spans="1:19">
      <c r="A457" t="s">
        <v>46</v>
      </c>
      <c r="B457" s="1">
        <v>-416.66666666666669</v>
      </c>
      <c r="C457">
        <v>204</v>
      </c>
      <c r="D457">
        <v>0</v>
      </c>
      <c r="E457">
        <v>156</v>
      </c>
      <c r="F457">
        <v>216</v>
      </c>
      <c r="G457">
        <v>184</v>
      </c>
      <c r="H457">
        <v>0</v>
      </c>
      <c r="I457">
        <v>148</v>
      </c>
      <c r="J457" s="1">
        <v>-416.66666666666669</v>
      </c>
      <c r="K457">
        <v>26</v>
      </c>
      <c r="L457">
        <v>-46</v>
      </c>
      <c r="M457" s="1">
        <v>-416.66666666666669</v>
      </c>
      <c r="N457">
        <v>142</v>
      </c>
      <c r="O457">
        <v>91</v>
      </c>
      <c r="P457">
        <v>40</v>
      </c>
      <c r="Q457" s="1">
        <v>-416.66666666666669</v>
      </c>
      <c r="R457">
        <v>6</v>
      </c>
      <c r="S457">
        <v>-8</v>
      </c>
    </row>
    <row r="458" spans="1:19">
      <c r="A458" t="s">
        <v>46</v>
      </c>
      <c r="B458" s="1">
        <v>-416.66666666666669</v>
      </c>
      <c r="C458">
        <v>268</v>
      </c>
      <c r="D458">
        <v>0</v>
      </c>
      <c r="E458">
        <v>156</v>
      </c>
      <c r="F458">
        <v>252</v>
      </c>
      <c r="G458">
        <v>180</v>
      </c>
      <c r="H458">
        <v>8</v>
      </c>
      <c r="I458">
        <v>424</v>
      </c>
      <c r="J458" s="1">
        <v>-416.66666666666669</v>
      </c>
      <c r="K458">
        <v>90</v>
      </c>
      <c r="L458">
        <v>50</v>
      </c>
      <c r="M458" s="1">
        <v>-416.66666666666669</v>
      </c>
      <c r="N458">
        <v>94</v>
      </c>
      <c r="O458">
        <v>43</v>
      </c>
      <c r="P458">
        <v>-8</v>
      </c>
      <c r="Q458" s="1">
        <v>-416.66666666666669</v>
      </c>
      <c r="R458">
        <v>8</v>
      </c>
      <c r="S458">
        <v>-8</v>
      </c>
    </row>
    <row r="459" spans="1:19">
      <c r="A459" t="s">
        <v>46</v>
      </c>
      <c r="B459" s="1">
        <v>-416.66666666666669</v>
      </c>
      <c r="C459">
        <v>268</v>
      </c>
      <c r="D459">
        <v>0</v>
      </c>
      <c r="E459">
        <v>152</v>
      </c>
      <c r="F459">
        <v>252</v>
      </c>
      <c r="G459">
        <v>184</v>
      </c>
      <c r="H459">
        <v>12</v>
      </c>
      <c r="I459">
        <v>316</v>
      </c>
      <c r="J459" s="1">
        <v>-416.66666666666669</v>
      </c>
      <c r="K459">
        <v>90</v>
      </c>
      <c r="L459">
        <v>50</v>
      </c>
      <c r="M459" s="1">
        <v>-416.66666666666669</v>
      </c>
      <c r="N459">
        <v>54</v>
      </c>
      <c r="O459">
        <v>27</v>
      </c>
      <c r="P459">
        <v>0</v>
      </c>
      <c r="Q459" s="1">
        <v>-416.66666666666669</v>
      </c>
      <c r="R459">
        <v>8</v>
      </c>
      <c r="S459">
        <v>-6</v>
      </c>
    </row>
    <row r="460" spans="1:19">
      <c r="A460" t="s">
        <v>46</v>
      </c>
      <c r="B460" s="1">
        <v>-416.66666666666669</v>
      </c>
      <c r="C460">
        <v>168</v>
      </c>
      <c r="D460">
        <v>0</v>
      </c>
      <c r="E460">
        <v>152</v>
      </c>
      <c r="F460">
        <v>236</v>
      </c>
      <c r="G460">
        <v>188</v>
      </c>
      <c r="H460">
        <v>12</v>
      </c>
      <c r="I460">
        <v>212</v>
      </c>
      <c r="J460" s="1">
        <v>-416.66666666666669</v>
      </c>
      <c r="K460">
        <v>90</v>
      </c>
      <c r="L460">
        <v>50</v>
      </c>
      <c r="M460" s="1">
        <v>-416.66666666666669</v>
      </c>
      <c r="N460">
        <v>66</v>
      </c>
      <c r="O460">
        <v>43</v>
      </c>
      <c r="P460">
        <v>20</v>
      </c>
      <c r="Q460" s="1">
        <v>-416.66666666666669</v>
      </c>
      <c r="R460">
        <v>8</v>
      </c>
      <c r="S460">
        <v>-6</v>
      </c>
    </row>
    <row r="461" spans="1:19">
      <c r="A461" t="s">
        <v>46</v>
      </c>
      <c r="B461" s="1">
        <v>-416.66666666666669</v>
      </c>
      <c r="C461">
        <v>180</v>
      </c>
      <c r="D461">
        <v>0</v>
      </c>
      <c r="E461">
        <v>148</v>
      </c>
      <c r="F461">
        <v>184</v>
      </c>
      <c r="G461">
        <v>188</v>
      </c>
      <c r="H461">
        <v>12</v>
      </c>
      <c r="I461">
        <v>152</v>
      </c>
      <c r="J461" s="1">
        <v>-416.66666666666669</v>
      </c>
      <c r="K461">
        <v>77</v>
      </c>
      <c r="L461">
        <v>43</v>
      </c>
      <c r="M461" s="1">
        <v>-416.66666666666669</v>
      </c>
      <c r="N461">
        <v>112</v>
      </c>
      <c r="O461">
        <v>88</v>
      </c>
      <c r="P461">
        <v>64</v>
      </c>
      <c r="Q461" s="1">
        <v>-416.66666666666669</v>
      </c>
      <c r="R461">
        <v>8</v>
      </c>
      <c r="S461">
        <v>-8</v>
      </c>
    </row>
    <row r="462" spans="1:19">
      <c r="A462" t="s">
        <v>46</v>
      </c>
      <c r="B462" s="1">
        <v>-416.66666666666669</v>
      </c>
      <c r="C462">
        <v>212</v>
      </c>
      <c r="D462">
        <v>0</v>
      </c>
      <c r="E462">
        <v>120</v>
      </c>
      <c r="F462">
        <v>120</v>
      </c>
      <c r="G462">
        <v>180</v>
      </c>
      <c r="H462">
        <v>0</v>
      </c>
      <c r="I462">
        <v>112</v>
      </c>
      <c r="J462" s="1">
        <v>-416.66666666666669</v>
      </c>
      <c r="K462">
        <v>82</v>
      </c>
      <c r="L462">
        <v>58</v>
      </c>
      <c r="M462" s="1">
        <v>-416.66666666666669</v>
      </c>
      <c r="N462">
        <v>94</v>
      </c>
      <c r="O462">
        <v>63</v>
      </c>
      <c r="P462">
        <v>32</v>
      </c>
      <c r="Q462" s="1">
        <v>-416.66666666666669</v>
      </c>
      <c r="R462">
        <v>6</v>
      </c>
      <c r="S462">
        <v>-8</v>
      </c>
    </row>
    <row r="463" spans="1:19">
      <c r="A463" t="s">
        <v>46</v>
      </c>
      <c r="B463" s="1">
        <v>-416.66666666666669</v>
      </c>
      <c r="C463">
        <v>264</v>
      </c>
      <c r="D463">
        <v>4</v>
      </c>
      <c r="E463">
        <v>80</v>
      </c>
      <c r="F463">
        <v>124</v>
      </c>
      <c r="G463">
        <v>164</v>
      </c>
      <c r="H463">
        <v>0</v>
      </c>
      <c r="I463">
        <v>100</v>
      </c>
      <c r="J463" s="1">
        <v>-416.66666666666669</v>
      </c>
      <c r="K463">
        <v>88</v>
      </c>
      <c r="L463">
        <v>52</v>
      </c>
      <c r="M463" s="1">
        <v>-416.66666666666669</v>
      </c>
      <c r="N463">
        <v>86</v>
      </c>
      <c r="O463">
        <v>64</v>
      </c>
      <c r="P463">
        <v>42</v>
      </c>
      <c r="Q463" s="1">
        <v>-416.66666666666669</v>
      </c>
      <c r="R463">
        <v>4</v>
      </c>
      <c r="S463">
        <v>-10</v>
      </c>
    </row>
    <row r="464" spans="1:19">
      <c r="A464" t="s">
        <v>46</v>
      </c>
      <c r="B464" s="1">
        <v>-416.66666666666669</v>
      </c>
      <c r="C464">
        <v>232</v>
      </c>
      <c r="D464">
        <v>0</v>
      </c>
      <c r="E464">
        <v>108</v>
      </c>
      <c r="F464">
        <v>112</v>
      </c>
      <c r="G464">
        <v>176</v>
      </c>
      <c r="H464">
        <v>0</v>
      </c>
      <c r="I464">
        <v>108</v>
      </c>
      <c r="J464" s="1">
        <v>-416.66666666666669</v>
      </c>
      <c r="K464">
        <v>97</v>
      </c>
      <c r="L464">
        <v>43</v>
      </c>
      <c r="M464" s="1">
        <v>-416.66666666666669</v>
      </c>
      <c r="N464">
        <v>78</v>
      </c>
      <c r="O464">
        <v>56</v>
      </c>
      <c r="P464">
        <v>34</v>
      </c>
      <c r="Q464" s="1">
        <v>-416.66666666666669</v>
      </c>
      <c r="R464">
        <v>6</v>
      </c>
      <c r="S464">
        <v>-10</v>
      </c>
    </row>
    <row r="465" spans="1:19">
      <c r="A465" t="s">
        <v>46</v>
      </c>
      <c r="B465" s="1">
        <v>-416.66666666666669</v>
      </c>
      <c r="C465">
        <v>208</v>
      </c>
      <c r="D465">
        <v>0</v>
      </c>
      <c r="E465">
        <v>128</v>
      </c>
      <c r="F465">
        <v>132</v>
      </c>
      <c r="G465">
        <v>184</v>
      </c>
      <c r="H465">
        <v>0</v>
      </c>
      <c r="I465">
        <v>116</v>
      </c>
      <c r="J465" s="1">
        <v>-416.66666666666669</v>
      </c>
      <c r="K465">
        <v>70</v>
      </c>
      <c r="L465">
        <v>10</v>
      </c>
      <c r="M465" s="1">
        <v>-416.66666666666669</v>
      </c>
      <c r="N465">
        <v>134</v>
      </c>
      <c r="O465">
        <v>88</v>
      </c>
      <c r="P465">
        <v>42</v>
      </c>
      <c r="Q465" s="1">
        <v>-416.66666666666669</v>
      </c>
      <c r="R465">
        <v>6</v>
      </c>
      <c r="S465">
        <v>-10</v>
      </c>
    </row>
    <row r="466" spans="1:19">
      <c r="A466" t="s">
        <v>46</v>
      </c>
      <c r="B466" s="1">
        <v>-416.66666666666669</v>
      </c>
      <c r="C466">
        <v>188</v>
      </c>
      <c r="D466">
        <v>0</v>
      </c>
      <c r="E466">
        <v>140</v>
      </c>
      <c r="F466">
        <v>148</v>
      </c>
      <c r="G466">
        <v>184</v>
      </c>
      <c r="H466">
        <v>4</v>
      </c>
      <c r="I466">
        <v>144</v>
      </c>
      <c r="J466" s="1">
        <v>-416.66666666666669</v>
      </c>
      <c r="K466">
        <v>100</v>
      </c>
      <c r="L466">
        <v>39</v>
      </c>
      <c r="M466" s="1">
        <v>-416.66666666666669</v>
      </c>
      <c r="N466">
        <v>134</v>
      </c>
      <c r="O466">
        <v>79</v>
      </c>
      <c r="P466">
        <v>24</v>
      </c>
      <c r="Q466" s="1">
        <v>-416.66666666666669</v>
      </c>
      <c r="R466">
        <v>6</v>
      </c>
      <c r="S466">
        <v>-8</v>
      </c>
    </row>
    <row r="467" spans="1:19">
      <c r="A467" t="s">
        <v>46</v>
      </c>
      <c r="B467" s="1">
        <v>-416.66666666666669</v>
      </c>
      <c r="C467">
        <v>208</v>
      </c>
      <c r="D467">
        <v>0</v>
      </c>
      <c r="E467">
        <v>136</v>
      </c>
      <c r="F467">
        <v>148</v>
      </c>
      <c r="G467">
        <v>184</v>
      </c>
      <c r="H467">
        <v>8</v>
      </c>
      <c r="I467">
        <v>196</v>
      </c>
      <c r="J467" s="1">
        <v>-416.66666666666669</v>
      </c>
      <c r="K467">
        <v>100</v>
      </c>
      <c r="L467">
        <v>39</v>
      </c>
      <c r="M467" s="1">
        <v>-416.66666666666669</v>
      </c>
      <c r="N467">
        <v>118</v>
      </c>
      <c r="O467">
        <v>73</v>
      </c>
      <c r="P467">
        <v>28</v>
      </c>
      <c r="Q467" s="1">
        <v>-416.66666666666669</v>
      </c>
      <c r="R467">
        <v>6</v>
      </c>
      <c r="S467">
        <v>-8</v>
      </c>
    </row>
    <row r="468" spans="1:19">
      <c r="A468" t="s">
        <v>46</v>
      </c>
      <c r="B468" s="1">
        <v>-416.66666666666669</v>
      </c>
      <c r="C468">
        <v>268</v>
      </c>
      <c r="D468">
        <v>4</v>
      </c>
      <c r="E468">
        <v>112</v>
      </c>
      <c r="F468">
        <v>112</v>
      </c>
      <c r="G468">
        <v>172</v>
      </c>
      <c r="H468">
        <v>20</v>
      </c>
      <c r="I468">
        <v>508</v>
      </c>
      <c r="J468" s="1">
        <v>-416.66666666666669</v>
      </c>
      <c r="K468">
        <v>79</v>
      </c>
      <c r="L468">
        <v>61</v>
      </c>
      <c r="M468" s="1">
        <v>-416.66666666666669</v>
      </c>
      <c r="N468">
        <v>58</v>
      </c>
      <c r="O468">
        <v>36</v>
      </c>
      <c r="P468" s="12">
        <v>14</v>
      </c>
      <c r="Q468" s="1">
        <v>-416.66666666666669</v>
      </c>
      <c r="R468">
        <v>6</v>
      </c>
      <c r="S468">
        <v>-8</v>
      </c>
    </row>
    <row r="469" spans="1:19">
      <c r="A469" t="s">
        <v>46</v>
      </c>
      <c r="B469" s="1">
        <v>-416.66666666666669</v>
      </c>
      <c r="C469">
        <v>240</v>
      </c>
      <c r="D469">
        <v>4</v>
      </c>
      <c r="E469">
        <v>92</v>
      </c>
      <c r="F469">
        <v>124</v>
      </c>
      <c r="G469">
        <v>160</v>
      </c>
      <c r="H469">
        <v>16</v>
      </c>
      <c r="I469">
        <v>232</v>
      </c>
      <c r="J469" s="1">
        <v>-416.66666666666669</v>
      </c>
      <c r="K469">
        <v>96</v>
      </c>
      <c r="L469">
        <v>44</v>
      </c>
      <c r="M469" s="1">
        <v>-416.66666666666669</v>
      </c>
      <c r="N469">
        <v>106</v>
      </c>
      <c r="O469">
        <v>71</v>
      </c>
      <c r="P469" s="12">
        <v>36</v>
      </c>
      <c r="Q469" s="1">
        <v>-416.66666666666669</v>
      </c>
      <c r="R469">
        <v>6</v>
      </c>
      <c r="S469">
        <v>-10</v>
      </c>
    </row>
    <row r="470" spans="1:19">
      <c r="A470" t="s">
        <v>46</v>
      </c>
      <c r="B470" s="1">
        <v>-416.66666666666669</v>
      </c>
      <c r="C470">
        <v>204</v>
      </c>
      <c r="D470">
        <v>0</v>
      </c>
      <c r="E470">
        <v>120</v>
      </c>
      <c r="F470">
        <v>116</v>
      </c>
      <c r="G470">
        <v>176</v>
      </c>
      <c r="H470">
        <v>4</v>
      </c>
      <c r="I470">
        <v>176</v>
      </c>
      <c r="J470" s="1">
        <v>-416.66666666666669</v>
      </c>
      <c r="K470">
        <v>70</v>
      </c>
      <c r="L470">
        <v>10</v>
      </c>
      <c r="M470" s="1">
        <v>-416.66666666666669</v>
      </c>
      <c r="N470">
        <v>116</v>
      </c>
      <c r="O470">
        <v>82</v>
      </c>
      <c r="P470" s="12">
        <v>48</v>
      </c>
      <c r="Q470" s="1">
        <v>-416.66666666666669</v>
      </c>
      <c r="R470">
        <v>6</v>
      </c>
      <c r="S470">
        <v>-8</v>
      </c>
    </row>
    <row r="471" spans="1:19">
      <c r="A471" t="s">
        <v>46</v>
      </c>
      <c r="B471" s="1">
        <v>-416.66666666666669</v>
      </c>
      <c r="C471">
        <v>176</v>
      </c>
      <c r="D471">
        <v>0</v>
      </c>
      <c r="E471">
        <v>136</v>
      </c>
      <c r="F471">
        <v>140</v>
      </c>
      <c r="G471">
        <v>184</v>
      </c>
      <c r="H471">
        <v>4</v>
      </c>
      <c r="I471">
        <v>160</v>
      </c>
      <c r="J471" s="1">
        <v>-416.66666666666669</v>
      </c>
      <c r="K471">
        <v>90</v>
      </c>
      <c r="L471">
        <v>50</v>
      </c>
      <c r="M471" s="1">
        <v>-416.66666666666669</v>
      </c>
      <c r="N471">
        <v>112</v>
      </c>
      <c r="O471">
        <v>60</v>
      </c>
      <c r="P471" s="12">
        <v>8</v>
      </c>
      <c r="Q471" s="1">
        <v>-416.66666666666669</v>
      </c>
      <c r="R471">
        <v>6</v>
      </c>
      <c r="S471">
        <v>-8</v>
      </c>
    </row>
    <row r="472" spans="1:19">
      <c r="A472" t="s">
        <v>46</v>
      </c>
      <c r="B472" s="1">
        <v>-416.66666666666669</v>
      </c>
      <c r="C472">
        <v>172</v>
      </c>
      <c r="D472">
        <v>0</v>
      </c>
      <c r="E472">
        <v>128</v>
      </c>
      <c r="F472">
        <v>124</v>
      </c>
      <c r="G472">
        <v>180</v>
      </c>
      <c r="H472">
        <v>4</v>
      </c>
      <c r="I472">
        <v>192</v>
      </c>
      <c r="J472" s="1">
        <v>-416.66666666666669</v>
      </c>
      <c r="K472">
        <v>90</v>
      </c>
      <c r="L472">
        <v>50</v>
      </c>
      <c r="M472" s="1">
        <v>-416.66666666666669</v>
      </c>
      <c r="N472">
        <v>74</v>
      </c>
      <c r="O472">
        <v>41</v>
      </c>
      <c r="P472">
        <v>8</v>
      </c>
      <c r="Q472" s="1">
        <v>-416.66666666666669</v>
      </c>
      <c r="R472">
        <v>8</v>
      </c>
      <c r="S472">
        <v>-8</v>
      </c>
    </row>
    <row r="473" spans="1:19">
      <c r="A473" t="s">
        <v>46</v>
      </c>
      <c r="B473" s="1">
        <v>-416.66666666666669</v>
      </c>
      <c r="C473">
        <v>196</v>
      </c>
      <c r="D473">
        <v>0</v>
      </c>
      <c r="E473">
        <v>112</v>
      </c>
      <c r="F473">
        <v>116</v>
      </c>
      <c r="G473">
        <v>164</v>
      </c>
      <c r="H473">
        <v>12</v>
      </c>
      <c r="I473">
        <v>272</v>
      </c>
      <c r="J473" s="1">
        <v>-416.66666666666669</v>
      </c>
      <c r="K473">
        <v>35</v>
      </c>
      <c r="L473">
        <v>-35</v>
      </c>
      <c r="M473" s="1">
        <v>-416.66666666666669</v>
      </c>
      <c r="N473">
        <v>140</v>
      </c>
      <c r="O473">
        <v>96</v>
      </c>
      <c r="P473">
        <v>52</v>
      </c>
      <c r="Q473" s="1">
        <v>-416.66666666666669</v>
      </c>
      <c r="R473">
        <v>8</v>
      </c>
      <c r="S473">
        <v>-6</v>
      </c>
    </row>
    <row r="474" spans="1:19">
      <c r="A474" t="s">
        <v>46</v>
      </c>
      <c r="B474" s="1">
        <v>-416.66666666666669</v>
      </c>
      <c r="C474">
        <v>196</v>
      </c>
      <c r="D474">
        <v>0</v>
      </c>
      <c r="E474">
        <v>108</v>
      </c>
      <c r="F474">
        <v>120</v>
      </c>
      <c r="G474">
        <v>156</v>
      </c>
      <c r="H474">
        <v>20</v>
      </c>
      <c r="I474">
        <v>376</v>
      </c>
      <c r="J474" s="1">
        <v>-416.66666666666669</v>
      </c>
      <c r="K474">
        <v>90</v>
      </c>
      <c r="L474">
        <v>50</v>
      </c>
      <c r="M474" s="1">
        <v>-416.66666666666669</v>
      </c>
      <c r="N474">
        <v>122</v>
      </c>
      <c r="O474">
        <v>64</v>
      </c>
      <c r="P474">
        <v>6</v>
      </c>
      <c r="Q474" s="1">
        <v>-416.66666666666669</v>
      </c>
      <c r="R474">
        <v>8</v>
      </c>
      <c r="S474">
        <v>-6</v>
      </c>
    </row>
    <row r="475" spans="1:19">
      <c r="A475" t="s">
        <v>46</v>
      </c>
      <c r="B475" s="1">
        <v>-416.66666666666669</v>
      </c>
      <c r="C475">
        <v>192</v>
      </c>
      <c r="D475">
        <v>4</v>
      </c>
      <c r="E475">
        <v>112</v>
      </c>
      <c r="F475">
        <v>116</v>
      </c>
      <c r="G475">
        <v>164</v>
      </c>
      <c r="H475">
        <v>16</v>
      </c>
      <c r="I475">
        <v>292</v>
      </c>
      <c r="J475" s="1">
        <v>-416.66666666666669</v>
      </c>
      <c r="K475">
        <v>76</v>
      </c>
      <c r="L475">
        <v>24</v>
      </c>
      <c r="M475" s="1">
        <v>-416.66666666666669</v>
      </c>
      <c r="N475">
        <v>126</v>
      </c>
      <c r="O475">
        <v>81</v>
      </c>
      <c r="P475">
        <v>36</v>
      </c>
      <c r="Q475" s="1">
        <v>-416.66666666666669</v>
      </c>
      <c r="R475">
        <v>8</v>
      </c>
      <c r="S475">
        <v>-6</v>
      </c>
    </row>
    <row r="476" spans="1:19">
      <c r="A476" t="s">
        <v>46</v>
      </c>
      <c r="B476" s="1">
        <v>-416.66666666666669</v>
      </c>
      <c r="C476">
        <v>208</v>
      </c>
      <c r="D476">
        <v>0</v>
      </c>
      <c r="E476">
        <v>104</v>
      </c>
      <c r="F476">
        <v>120</v>
      </c>
      <c r="G476">
        <v>156</v>
      </c>
      <c r="H476">
        <v>12</v>
      </c>
      <c r="I476">
        <v>232</v>
      </c>
      <c r="J476" s="1">
        <v>-416.66666666666669</v>
      </c>
      <c r="K476">
        <v>100</v>
      </c>
      <c r="L476">
        <v>40</v>
      </c>
      <c r="M476" s="1">
        <v>-416.66666666666669</v>
      </c>
      <c r="N476">
        <v>116</v>
      </c>
      <c r="O476">
        <v>69</v>
      </c>
      <c r="P476">
        <v>22</v>
      </c>
      <c r="Q476" s="1">
        <v>-416.66666666666669</v>
      </c>
      <c r="R476">
        <v>8</v>
      </c>
      <c r="S476">
        <v>-8</v>
      </c>
    </row>
    <row r="477" spans="1:19">
      <c r="A477" t="s">
        <v>46</v>
      </c>
      <c r="B477" s="1">
        <v>-416.66666666666669</v>
      </c>
      <c r="C477">
        <v>196</v>
      </c>
      <c r="D477">
        <v>0</v>
      </c>
      <c r="E477">
        <v>108</v>
      </c>
      <c r="F477">
        <v>120</v>
      </c>
      <c r="G477">
        <v>160</v>
      </c>
      <c r="H477">
        <v>12</v>
      </c>
      <c r="I477">
        <v>248</v>
      </c>
      <c r="J477" s="1">
        <v>-416.66666666666669</v>
      </c>
      <c r="K477">
        <v>85</v>
      </c>
      <c r="L477">
        <v>15</v>
      </c>
      <c r="M477" s="1">
        <v>-416.66666666666669</v>
      </c>
      <c r="N477">
        <v>146</v>
      </c>
      <c r="O477">
        <v>85</v>
      </c>
      <c r="P477">
        <v>24</v>
      </c>
      <c r="Q477" s="1">
        <v>-416.66666666666669</v>
      </c>
      <c r="R477">
        <v>8</v>
      </c>
      <c r="S477">
        <v>-6</v>
      </c>
    </row>
    <row r="478" spans="1:19">
      <c r="A478" t="s">
        <v>46</v>
      </c>
      <c r="B478" s="1">
        <v>-416.66666666666669</v>
      </c>
      <c r="C478">
        <v>192</v>
      </c>
      <c r="D478">
        <v>0</v>
      </c>
      <c r="E478">
        <v>108</v>
      </c>
      <c r="F478">
        <v>120</v>
      </c>
      <c r="G478">
        <v>152</v>
      </c>
      <c r="H478">
        <v>16</v>
      </c>
      <c r="I478">
        <v>268</v>
      </c>
      <c r="J478" s="1">
        <v>-416.66666666666669</v>
      </c>
      <c r="K478">
        <v>90</v>
      </c>
      <c r="L478">
        <v>50</v>
      </c>
      <c r="M478" s="1">
        <v>-416.66666666666669</v>
      </c>
      <c r="N478">
        <v>122</v>
      </c>
      <c r="O478">
        <v>67</v>
      </c>
      <c r="P478">
        <v>12</v>
      </c>
      <c r="Q478" s="1">
        <v>-416.66666666666669</v>
      </c>
      <c r="R478">
        <v>8</v>
      </c>
      <c r="S478">
        <v>-6</v>
      </c>
    </row>
    <row r="479" spans="1:19">
      <c r="A479" t="s">
        <v>46</v>
      </c>
      <c r="B479" s="1">
        <v>-416.66666666666669</v>
      </c>
      <c r="C479">
        <v>192</v>
      </c>
      <c r="D479">
        <v>0</v>
      </c>
      <c r="E479">
        <v>108</v>
      </c>
      <c r="F479">
        <v>120</v>
      </c>
      <c r="G479">
        <v>156</v>
      </c>
      <c r="H479">
        <v>20</v>
      </c>
      <c r="I479">
        <v>308</v>
      </c>
      <c r="J479" s="1">
        <v>-416.66666666666669</v>
      </c>
      <c r="K479">
        <v>90</v>
      </c>
      <c r="L479">
        <v>50</v>
      </c>
      <c r="M479" s="1">
        <v>-416.66666666666669</v>
      </c>
      <c r="N479">
        <v>106</v>
      </c>
      <c r="O479">
        <v>60</v>
      </c>
      <c r="P479">
        <v>14</v>
      </c>
      <c r="Q479" s="1">
        <v>-416.66666666666669</v>
      </c>
      <c r="R479">
        <v>8</v>
      </c>
      <c r="S479">
        <v>-6</v>
      </c>
    </row>
    <row r="480" spans="1:19">
      <c r="A480" t="s">
        <v>46</v>
      </c>
      <c r="B480" s="1">
        <v>-416.66666666666669</v>
      </c>
      <c r="C480">
        <v>184</v>
      </c>
      <c r="D480">
        <v>0</v>
      </c>
      <c r="E480">
        <v>112</v>
      </c>
      <c r="F480">
        <v>120</v>
      </c>
      <c r="G480">
        <v>156</v>
      </c>
      <c r="H480">
        <v>16</v>
      </c>
      <c r="I480">
        <v>308</v>
      </c>
      <c r="J480" s="1">
        <v>-416.66666666666669</v>
      </c>
      <c r="K480">
        <v>90</v>
      </c>
      <c r="L480">
        <v>50</v>
      </c>
      <c r="M480" s="1">
        <v>-416.66666666666669</v>
      </c>
      <c r="N480">
        <v>130</v>
      </c>
      <c r="O480">
        <v>73</v>
      </c>
      <c r="P480">
        <v>16</v>
      </c>
      <c r="Q480" s="1">
        <v>-416.66666666666669</v>
      </c>
      <c r="R480">
        <v>8</v>
      </c>
      <c r="S480">
        <v>-6</v>
      </c>
    </row>
    <row r="481" spans="1:19">
      <c r="A481" t="s">
        <v>46</v>
      </c>
      <c r="B481" s="1">
        <v>-416.66666666666669</v>
      </c>
      <c r="C481">
        <v>184</v>
      </c>
      <c r="D481">
        <v>4</v>
      </c>
      <c r="E481">
        <v>108</v>
      </c>
      <c r="F481">
        <v>120</v>
      </c>
      <c r="G481">
        <v>156</v>
      </c>
      <c r="H481">
        <v>20</v>
      </c>
      <c r="I481">
        <v>316</v>
      </c>
      <c r="J481" s="1">
        <v>-416.66666666666669</v>
      </c>
      <c r="K481">
        <v>92</v>
      </c>
      <c r="L481">
        <v>28</v>
      </c>
      <c r="M481" s="1">
        <v>-416.66666666666669</v>
      </c>
      <c r="N481">
        <v>128</v>
      </c>
      <c r="O481">
        <v>78</v>
      </c>
      <c r="P481">
        <v>28</v>
      </c>
      <c r="Q481" s="1">
        <v>-416.66666666666669</v>
      </c>
      <c r="R481">
        <v>8</v>
      </c>
      <c r="S481">
        <v>-6</v>
      </c>
    </row>
    <row r="482" spans="1:19">
      <c r="A482" t="s">
        <v>46</v>
      </c>
      <c r="B482" s="1">
        <v>-416.66666666666669</v>
      </c>
      <c r="C482">
        <v>192</v>
      </c>
      <c r="D482">
        <v>4</v>
      </c>
      <c r="E482">
        <v>108</v>
      </c>
      <c r="F482">
        <v>120</v>
      </c>
      <c r="G482">
        <v>152</v>
      </c>
      <c r="H482">
        <v>12</v>
      </c>
      <c r="I482">
        <v>280</v>
      </c>
      <c r="J482" s="1">
        <v>-416.66666666666669</v>
      </c>
      <c r="K482">
        <v>90</v>
      </c>
      <c r="L482">
        <v>50</v>
      </c>
      <c r="M482" s="1">
        <v>-416.66666666666669</v>
      </c>
      <c r="N482">
        <v>102</v>
      </c>
      <c r="O482">
        <v>52</v>
      </c>
      <c r="P482">
        <v>2</v>
      </c>
      <c r="Q482" s="1">
        <v>-416.66666666666669</v>
      </c>
      <c r="R482">
        <v>8</v>
      </c>
      <c r="S482">
        <v>-6</v>
      </c>
    </row>
    <row r="483" spans="1:19">
      <c r="A483" t="s">
        <v>46</v>
      </c>
      <c r="B483" s="1">
        <v>-416.66666666666669</v>
      </c>
      <c r="C483">
        <v>192</v>
      </c>
      <c r="D483">
        <v>0</v>
      </c>
      <c r="E483">
        <v>108</v>
      </c>
      <c r="F483">
        <v>120</v>
      </c>
      <c r="G483">
        <v>152</v>
      </c>
      <c r="H483">
        <v>12</v>
      </c>
      <c r="I483">
        <v>248</v>
      </c>
      <c r="J483" s="1">
        <v>-416.66666666666669</v>
      </c>
      <c r="K483">
        <v>90</v>
      </c>
      <c r="L483">
        <v>50</v>
      </c>
      <c r="M483" s="1">
        <v>-416.66666666666669</v>
      </c>
      <c r="N483">
        <v>114</v>
      </c>
      <c r="O483">
        <v>57</v>
      </c>
      <c r="P483">
        <v>0</v>
      </c>
      <c r="Q483" s="1">
        <v>-416.66666666666669</v>
      </c>
      <c r="R483">
        <v>8</v>
      </c>
      <c r="S483">
        <v>-6</v>
      </c>
    </row>
    <row r="484" spans="1:19">
      <c r="A484" t="s">
        <v>46</v>
      </c>
      <c r="B484" s="1">
        <v>-416.66666666666669</v>
      </c>
      <c r="C484">
        <v>188</v>
      </c>
      <c r="D484">
        <v>0</v>
      </c>
      <c r="E484">
        <v>108</v>
      </c>
      <c r="F484">
        <v>120</v>
      </c>
      <c r="G484">
        <v>152</v>
      </c>
      <c r="H484">
        <v>16</v>
      </c>
      <c r="I484">
        <v>292</v>
      </c>
      <c r="J484" s="1">
        <v>-416.66666666666669</v>
      </c>
      <c r="K484">
        <v>90</v>
      </c>
      <c r="L484">
        <v>50</v>
      </c>
      <c r="M484" s="1">
        <v>-416.66666666666669</v>
      </c>
      <c r="N484">
        <v>124</v>
      </c>
      <c r="O484">
        <v>62</v>
      </c>
      <c r="P484">
        <v>0</v>
      </c>
      <c r="Q484" s="1">
        <v>-416.66666666666669</v>
      </c>
      <c r="R484">
        <v>8</v>
      </c>
      <c r="S484">
        <v>-6</v>
      </c>
    </row>
    <row r="485" spans="1:19">
      <c r="A485" t="s">
        <v>46</v>
      </c>
      <c r="B485" s="1">
        <v>-416.66666666666669</v>
      </c>
      <c r="C485">
        <v>188</v>
      </c>
      <c r="D485">
        <v>4</v>
      </c>
      <c r="E485">
        <v>108</v>
      </c>
      <c r="F485">
        <v>120</v>
      </c>
      <c r="G485">
        <v>156</v>
      </c>
      <c r="H485">
        <v>16</v>
      </c>
      <c r="I485">
        <v>300</v>
      </c>
      <c r="J485" s="1">
        <v>-416.66666666666669</v>
      </c>
      <c r="K485">
        <v>90</v>
      </c>
      <c r="L485">
        <v>50</v>
      </c>
      <c r="M485" s="1">
        <v>-416.66666666666669</v>
      </c>
      <c r="N485">
        <v>100</v>
      </c>
      <c r="O485">
        <v>49</v>
      </c>
      <c r="P485">
        <v>-2</v>
      </c>
      <c r="Q485" s="1">
        <v>-416.66666666666669</v>
      </c>
      <c r="R485">
        <v>8</v>
      </c>
      <c r="S485">
        <v>-6</v>
      </c>
    </row>
    <row r="486" spans="1:19">
      <c r="A486" t="s">
        <v>46</v>
      </c>
      <c r="B486" s="1">
        <v>-416.66666666666669</v>
      </c>
      <c r="C486">
        <v>188</v>
      </c>
      <c r="D486">
        <v>0</v>
      </c>
      <c r="E486">
        <v>108</v>
      </c>
      <c r="F486">
        <v>120</v>
      </c>
      <c r="G486">
        <v>152</v>
      </c>
      <c r="H486">
        <v>16</v>
      </c>
      <c r="I486">
        <v>284</v>
      </c>
      <c r="J486" s="1">
        <v>-416.66666666666669</v>
      </c>
      <c r="K486">
        <v>90</v>
      </c>
      <c r="L486">
        <v>50</v>
      </c>
      <c r="M486" s="1">
        <v>-416.66666666666669</v>
      </c>
      <c r="N486">
        <v>110</v>
      </c>
      <c r="O486">
        <v>56</v>
      </c>
      <c r="P486">
        <v>2</v>
      </c>
      <c r="Q486" s="1">
        <v>-416.66666666666669</v>
      </c>
      <c r="R486">
        <v>8</v>
      </c>
      <c r="S486">
        <v>-6</v>
      </c>
    </row>
    <row r="487" spans="1:19">
      <c r="A487" t="s">
        <v>46</v>
      </c>
      <c r="B487" s="1">
        <v>-416.66666666666669</v>
      </c>
      <c r="C487">
        <v>188</v>
      </c>
      <c r="D487">
        <v>0</v>
      </c>
      <c r="E487">
        <v>108</v>
      </c>
      <c r="F487">
        <v>120</v>
      </c>
      <c r="G487">
        <v>152</v>
      </c>
      <c r="H487">
        <v>16</v>
      </c>
      <c r="I487">
        <v>280</v>
      </c>
      <c r="J487" s="1">
        <v>-416.66666666666669</v>
      </c>
      <c r="K487">
        <v>90</v>
      </c>
      <c r="L487">
        <v>50</v>
      </c>
      <c r="M487" s="1">
        <v>-416.66666666666669</v>
      </c>
      <c r="N487">
        <v>110</v>
      </c>
      <c r="O487">
        <v>55</v>
      </c>
      <c r="P487">
        <v>0</v>
      </c>
      <c r="Q487" s="1">
        <v>-416.66666666666669</v>
      </c>
      <c r="R487">
        <v>8</v>
      </c>
      <c r="S487">
        <v>-6</v>
      </c>
    </row>
    <row r="488" spans="1:19">
      <c r="A488" t="s">
        <v>46</v>
      </c>
      <c r="B488" s="1">
        <v>-416.66666666666669</v>
      </c>
      <c r="C488">
        <v>192</v>
      </c>
      <c r="D488">
        <v>0</v>
      </c>
      <c r="E488">
        <v>108</v>
      </c>
      <c r="F488">
        <v>120</v>
      </c>
      <c r="G488">
        <v>152</v>
      </c>
      <c r="H488">
        <v>16</v>
      </c>
      <c r="I488">
        <v>280</v>
      </c>
      <c r="J488" s="1">
        <v>-416.66666666666669</v>
      </c>
      <c r="K488">
        <v>90</v>
      </c>
      <c r="L488">
        <v>50</v>
      </c>
      <c r="M488" s="1">
        <v>-416.66666666666669</v>
      </c>
      <c r="N488">
        <v>96</v>
      </c>
      <c r="O488" s="12">
        <v>48</v>
      </c>
      <c r="P488">
        <v>0</v>
      </c>
      <c r="Q488" s="1">
        <v>-416.66666666666669</v>
      </c>
      <c r="R488">
        <v>8</v>
      </c>
      <c r="S488">
        <v>-6</v>
      </c>
    </row>
    <row r="489" spans="1:19">
      <c r="A489" t="s">
        <v>46</v>
      </c>
      <c r="B489" s="1">
        <v>-416.66666666666669</v>
      </c>
      <c r="C489">
        <v>188</v>
      </c>
      <c r="D489">
        <v>0</v>
      </c>
      <c r="E489">
        <v>108</v>
      </c>
      <c r="F489">
        <v>120</v>
      </c>
      <c r="G489">
        <v>152</v>
      </c>
      <c r="H489">
        <v>20</v>
      </c>
      <c r="I489">
        <v>300</v>
      </c>
      <c r="J489" s="1">
        <v>-416.66666666666669</v>
      </c>
      <c r="K489">
        <v>90</v>
      </c>
      <c r="L489">
        <v>50</v>
      </c>
      <c r="M489" s="1">
        <v>-416.66666666666669</v>
      </c>
      <c r="N489">
        <v>98</v>
      </c>
      <c r="O489" s="12">
        <v>49</v>
      </c>
      <c r="P489">
        <v>0</v>
      </c>
      <c r="Q489" s="1">
        <v>-416.66666666666669</v>
      </c>
      <c r="R489">
        <v>8</v>
      </c>
      <c r="S489">
        <v>-6</v>
      </c>
    </row>
    <row r="490" spans="1:19">
      <c r="A490" t="s">
        <v>46</v>
      </c>
      <c r="B490" s="1">
        <v>-416.66666666666669</v>
      </c>
      <c r="C490">
        <v>188</v>
      </c>
      <c r="D490">
        <v>0</v>
      </c>
      <c r="E490">
        <v>108</v>
      </c>
      <c r="F490">
        <v>120</v>
      </c>
      <c r="G490">
        <v>156</v>
      </c>
      <c r="H490">
        <v>16</v>
      </c>
      <c r="I490">
        <v>284</v>
      </c>
      <c r="J490" s="1">
        <v>-416.66666666666669</v>
      </c>
      <c r="K490">
        <v>90</v>
      </c>
      <c r="L490">
        <v>50</v>
      </c>
      <c r="M490" s="1">
        <v>-416.66666666666669</v>
      </c>
      <c r="N490">
        <v>106</v>
      </c>
      <c r="O490" s="12">
        <v>58</v>
      </c>
      <c r="P490">
        <v>10</v>
      </c>
      <c r="Q490" s="1">
        <v>-416.66666666666669</v>
      </c>
      <c r="R490">
        <v>8</v>
      </c>
      <c r="S490">
        <v>-6</v>
      </c>
    </row>
    <row r="491" spans="1:19">
      <c r="A491" t="s">
        <v>46</v>
      </c>
      <c r="B491" s="1">
        <v>-416.66666666666669</v>
      </c>
      <c r="C491">
        <v>188</v>
      </c>
      <c r="D491">
        <v>4</v>
      </c>
      <c r="E491">
        <v>108</v>
      </c>
      <c r="F491">
        <v>120</v>
      </c>
      <c r="G491">
        <v>152</v>
      </c>
      <c r="H491">
        <v>16</v>
      </c>
      <c r="I491">
        <v>272</v>
      </c>
      <c r="J491" s="1">
        <v>-416.66666666666669</v>
      </c>
      <c r="K491">
        <v>90</v>
      </c>
      <c r="L491">
        <v>50</v>
      </c>
      <c r="M491" s="1">
        <v>-416.66666666666669</v>
      </c>
      <c r="N491">
        <v>114</v>
      </c>
      <c r="O491" s="12">
        <v>66</v>
      </c>
      <c r="P491">
        <v>18</v>
      </c>
      <c r="Q491" s="1">
        <v>-416.66666666666669</v>
      </c>
      <c r="R491">
        <v>8</v>
      </c>
      <c r="S491">
        <v>-6</v>
      </c>
    </row>
    <row r="492" spans="1:19">
      <c r="A492" t="s">
        <v>46</v>
      </c>
      <c r="B492" s="1">
        <v>-416.66666666666669</v>
      </c>
      <c r="C492">
        <v>192</v>
      </c>
      <c r="D492">
        <v>4</v>
      </c>
      <c r="E492">
        <v>108</v>
      </c>
      <c r="F492">
        <v>120</v>
      </c>
      <c r="G492">
        <v>152</v>
      </c>
      <c r="H492">
        <v>16</v>
      </c>
      <c r="I492">
        <v>280</v>
      </c>
      <c r="J492" s="1">
        <v>-416.66666666666669</v>
      </c>
      <c r="K492">
        <v>90</v>
      </c>
      <c r="L492">
        <v>50</v>
      </c>
      <c r="M492" s="1">
        <v>-416.66666666666669</v>
      </c>
      <c r="N492">
        <v>92</v>
      </c>
      <c r="O492" s="12">
        <v>46</v>
      </c>
      <c r="P492">
        <v>0</v>
      </c>
      <c r="Q492" s="1">
        <v>-416.66666666666669</v>
      </c>
      <c r="R492">
        <v>8</v>
      </c>
      <c r="S492">
        <v>-6</v>
      </c>
    </row>
    <row r="493" spans="1:19">
      <c r="A493" t="s">
        <v>46</v>
      </c>
      <c r="B493" s="1">
        <v>-416.66666666666669</v>
      </c>
      <c r="C493">
        <v>192</v>
      </c>
      <c r="D493">
        <v>0</v>
      </c>
      <c r="E493">
        <v>108</v>
      </c>
      <c r="F493">
        <v>120</v>
      </c>
      <c r="G493">
        <v>152</v>
      </c>
      <c r="H493">
        <v>16</v>
      </c>
      <c r="I493">
        <v>296</v>
      </c>
      <c r="J493" s="1">
        <v>-416.66666666666669</v>
      </c>
      <c r="K493">
        <v>90</v>
      </c>
      <c r="L493">
        <v>50</v>
      </c>
      <c r="M493" s="1">
        <v>-416.66666666666669</v>
      </c>
      <c r="N493">
        <v>94</v>
      </c>
      <c r="O493" s="12">
        <v>47</v>
      </c>
      <c r="P493">
        <v>0</v>
      </c>
      <c r="Q493" s="1">
        <v>-416.66666666666669</v>
      </c>
      <c r="R493">
        <v>8</v>
      </c>
      <c r="S493">
        <v>-6</v>
      </c>
    </row>
    <row r="494" spans="1:19">
      <c r="A494" t="s">
        <v>46</v>
      </c>
      <c r="B494" s="1">
        <v>-416.66666666666669</v>
      </c>
      <c r="C494">
        <v>188</v>
      </c>
      <c r="D494">
        <v>0</v>
      </c>
      <c r="E494">
        <v>108</v>
      </c>
      <c r="F494">
        <v>120</v>
      </c>
      <c r="G494">
        <v>152</v>
      </c>
      <c r="H494">
        <v>16</v>
      </c>
      <c r="I494">
        <v>280</v>
      </c>
      <c r="J494" s="1">
        <v>-416.66666666666669</v>
      </c>
      <c r="K494">
        <v>90</v>
      </c>
      <c r="L494">
        <v>50</v>
      </c>
      <c r="M494" s="1">
        <v>-416.66666666666669</v>
      </c>
      <c r="N494">
        <v>108</v>
      </c>
      <c r="O494" s="12">
        <v>55</v>
      </c>
      <c r="P494">
        <v>2</v>
      </c>
      <c r="Q494" s="1">
        <v>-416.66666666666669</v>
      </c>
      <c r="R494">
        <v>8</v>
      </c>
      <c r="S494">
        <v>-6</v>
      </c>
    </row>
    <row r="495" spans="1:19">
      <c r="A495" t="s">
        <v>46</v>
      </c>
      <c r="B495" s="1">
        <v>-416.66666666666669</v>
      </c>
      <c r="C495">
        <v>192</v>
      </c>
      <c r="D495">
        <v>0</v>
      </c>
      <c r="E495">
        <v>108</v>
      </c>
      <c r="F495">
        <v>120</v>
      </c>
      <c r="G495">
        <v>152</v>
      </c>
      <c r="H495">
        <v>16</v>
      </c>
      <c r="I495">
        <v>280</v>
      </c>
      <c r="J495" s="1">
        <v>-416.66666666666669</v>
      </c>
      <c r="K495">
        <v>90</v>
      </c>
      <c r="L495">
        <v>50</v>
      </c>
      <c r="M495" s="1">
        <v>-416.66666666666669</v>
      </c>
      <c r="N495">
        <v>108</v>
      </c>
      <c r="O495">
        <v>54</v>
      </c>
      <c r="P495">
        <v>0</v>
      </c>
      <c r="Q495" s="1">
        <v>-416.66666666666669</v>
      </c>
      <c r="R495">
        <v>8</v>
      </c>
      <c r="S495">
        <v>-6</v>
      </c>
    </row>
    <row r="496" spans="1:19">
      <c r="A496" t="s">
        <v>46</v>
      </c>
      <c r="B496" s="1">
        <v>-416.66666666666669</v>
      </c>
      <c r="C496">
        <v>184</v>
      </c>
      <c r="D496">
        <v>0</v>
      </c>
      <c r="E496">
        <v>108</v>
      </c>
      <c r="F496">
        <v>120</v>
      </c>
      <c r="G496">
        <v>152</v>
      </c>
      <c r="H496">
        <v>16</v>
      </c>
      <c r="I496">
        <v>288</v>
      </c>
      <c r="J496" s="1">
        <v>-416.66666666666669</v>
      </c>
      <c r="K496">
        <v>90</v>
      </c>
      <c r="L496">
        <v>50</v>
      </c>
      <c r="M496" s="1">
        <v>-416.66666666666669</v>
      </c>
      <c r="N496">
        <v>88</v>
      </c>
      <c r="O496">
        <v>44</v>
      </c>
      <c r="P496">
        <v>0</v>
      </c>
      <c r="Q496" s="1">
        <v>-416.66666666666669</v>
      </c>
      <c r="R496">
        <v>8</v>
      </c>
      <c r="S496">
        <v>-6</v>
      </c>
    </row>
    <row r="497" spans="1:19">
      <c r="A497" t="s">
        <v>46</v>
      </c>
      <c r="B497" s="1">
        <v>-416.66666666666669</v>
      </c>
      <c r="C497">
        <v>188</v>
      </c>
      <c r="D497">
        <v>0</v>
      </c>
      <c r="E497">
        <v>108</v>
      </c>
      <c r="F497">
        <v>120</v>
      </c>
      <c r="G497">
        <v>152</v>
      </c>
      <c r="H497">
        <v>16</v>
      </c>
      <c r="I497">
        <v>292</v>
      </c>
      <c r="J497" s="1">
        <v>-416.66666666666669</v>
      </c>
      <c r="K497">
        <v>90</v>
      </c>
      <c r="L497">
        <v>50</v>
      </c>
      <c r="M497" s="1">
        <v>-416.66666666666669</v>
      </c>
      <c r="N497">
        <v>96</v>
      </c>
      <c r="O497">
        <v>50</v>
      </c>
      <c r="P497">
        <v>4</v>
      </c>
      <c r="Q497" s="1">
        <v>-416.66666666666669</v>
      </c>
      <c r="R497">
        <v>8</v>
      </c>
      <c r="S497">
        <v>-6</v>
      </c>
    </row>
    <row r="498" spans="1:19">
      <c r="A498" t="s">
        <v>46</v>
      </c>
      <c r="B498" s="1">
        <v>-416.66666666666669</v>
      </c>
      <c r="C498">
        <v>188</v>
      </c>
      <c r="D498">
        <v>0</v>
      </c>
      <c r="E498">
        <v>108</v>
      </c>
      <c r="F498">
        <v>120</v>
      </c>
      <c r="G498">
        <v>156</v>
      </c>
      <c r="H498">
        <v>16</v>
      </c>
      <c r="I498">
        <v>272</v>
      </c>
      <c r="J498" s="1">
        <v>-416.66666666666669</v>
      </c>
      <c r="K498">
        <v>100</v>
      </c>
      <c r="L498">
        <v>37</v>
      </c>
      <c r="M498" s="1">
        <v>-416.66666666666669</v>
      </c>
      <c r="N498">
        <v>108</v>
      </c>
      <c r="O498">
        <v>64</v>
      </c>
      <c r="P498">
        <v>20</v>
      </c>
      <c r="Q498" s="1">
        <v>-416.66666666666669</v>
      </c>
      <c r="R498">
        <v>8</v>
      </c>
      <c r="S498">
        <v>-6</v>
      </c>
    </row>
    <row r="499" spans="1:19">
      <c r="A499" t="s">
        <v>46</v>
      </c>
      <c r="B499" s="1">
        <v>-416.66666666666669</v>
      </c>
      <c r="C499">
        <v>188</v>
      </c>
      <c r="D499">
        <v>0</v>
      </c>
      <c r="E499">
        <v>108</v>
      </c>
      <c r="F499">
        <v>120</v>
      </c>
      <c r="G499">
        <v>152</v>
      </c>
      <c r="H499">
        <v>16</v>
      </c>
      <c r="I499">
        <v>276</v>
      </c>
      <c r="J499" s="1">
        <v>-416.66666666666669</v>
      </c>
      <c r="K499">
        <v>90</v>
      </c>
      <c r="L499">
        <v>50</v>
      </c>
      <c r="M499" s="1">
        <v>-416.66666666666669</v>
      </c>
      <c r="N499">
        <v>116</v>
      </c>
      <c r="O499">
        <v>61</v>
      </c>
      <c r="P499">
        <v>6</v>
      </c>
      <c r="Q499" s="1">
        <v>-416.66666666666669</v>
      </c>
      <c r="R499">
        <v>8</v>
      </c>
      <c r="S499">
        <v>-6</v>
      </c>
    </row>
    <row r="500" spans="1:19">
      <c r="A500" t="s">
        <v>46</v>
      </c>
      <c r="B500" s="1">
        <v>-416.66666666666669</v>
      </c>
      <c r="C500">
        <v>192</v>
      </c>
      <c r="D500">
        <v>0</v>
      </c>
      <c r="E500">
        <v>108</v>
      </c>
      <c r="F500">
        <v>120</v>
      </c>
      <c r="G500">
        <v>152</v>
      </c>
      <c r="H500">
        <v>16</v>
      </c>
      <c r="I500">
        <v>296</v>
      </c>
      <c r="J500" s="1">
        <v>-416.66666666666669</v>
      </c>
      <c r="K500">
        <v>90</v>
      </c>
      <c r="L500">
        <v>50</v>
      </c>
      <c r="M500" s="1">
        <v>-416.66666666666669</v>
      </c>
      <c r="N500">
        <v>88</v>
      </c>
      <c r="O500">
        <v>50</v>
      </c>
      <c r="P500">
        <v>12</v>
      </c>
      <c r="Q500" s="1">
        <v>-416.66666666666669</v>
      </c>
      <c r="R500">
        <v>8</v>
      </c>
      <c r="S500">
        <v>-6</v>
      </c>
    </row>
    <row r="501" spans="1:19">
      <c r="A501" t="s">
        <v>46</v>
      </c>
      <c r="B501" s="1">
        <v>-416.66666666666669</v>
      </c>
      <c r="C501">
        <v>192</v>
      </c>
      <c r="D501">
        <v>0</v>
      </c>
      <c r="E501">
        <v>108</v>
      </c>
      <c r="F501">
        <v>120</v>
      </c>
      <c r="G501">
        <v>152</v>
      </c>
      <c r="H501">
        <v>16</v>
      </c>
      <c r="I501">
        <v>292</v>
      </c>
      <c r="J501" s="1">
        <v>-416.66666666666669</v>
      </c>
      <c r="K501">
        <v>90</v>
      </c>
      <c r="L501">
        <v>50</v>
      </c>
      <c r="M501" s="1">
        <v>-416.66666666666669</v>
      </c>
      <c r="N501">
        <v>98</v>
      </c>
      <c r="O501">
        <v>54</v>
      </c>
      <c r="P501">
        <v>10</v>
      </c>
      <c r="Q501" s="1">
        <v>-416.66666666666669</v>
      </c>
      <c r="R501">
        <v>8</v>
      </c>
      <c r="S501">
        <v>-6</v>
      </c>
    </row>
    <row r="502" spans="1:19">
      <c r="A502" t="s">
        <v>46</v>
      </c>
      <c r="B502" s="1">
        <v>-416.66666666666669</v>
      </c>
      <c r="C502">
        <v>188</v>
      </c>
      <c r="D502">
        <v>0</v>
      </c>
      <c r="E502">
        <v>108</v>
      </c>
      <c r="F502">
        <v>120</v>
      </c>
      <c r="G502">
        <v>156</v>
      </c>
      <c r="H502">
        <v>16</v>
      </c>
      <c r="I502">
        <v>272</v>
      </c>
      <c r="J502" s="1">
        <v>-416.66666666666669</v>
      </c>
      <c r="K502">
        <v>90</v>
      </c>
      <c r="L502">
        <v>50</v>
      </c>
      <c r="M502" s="1">
        <v>-416.66666666666669</v>
      </c>
      <c r="N502">
        <v>108</v>
      </c>
      <c r="O502">
        <v>63</v>
      </c>
      <c r="P502">
        <v>18</v>
      </c>
      <c r="Q502" s="1">
        <v>-416.66666666666669</v>
      </c>
      <c r="R502">
        <v>8</v>
      </c>
      <c r="S502">
        <v>-6</v>
      </c>
    </row>
    <row r="503" spans="1:19">
      <c r="A503" t="s">
        <v>46</v>
      </c>
      <c r="B503" s="1">
        <v>-416.66666666666669</v>
      </c>
      <c r="C503">
        <v>188</v>
      </c>
      <c r="D503">
        <v>0</v>
      </c>
      <c r="E503">
        <v>112</v>
      </c>
      <c r="F503">
        <v>120</v>
      </c>
      <c r="G503">
        <v>152</v>
      </c>
      <c r="H503">
        <v>16</v>
      </c>
      <c r="I503">
        <v>284</v>
      </c>
      <c r="J503" s="1">
        <v>-416.66666666666669</v>
      </c>
      <c r="K503">
        <v>90</v>
      </c>
      <c r="L503">
        <v>50</v>
      </c>
      <c r="M503" s="1">
        <v>-416.66666666666669</v>
      </c>
      <c r="N503">
        <v>108</v>
      </c>
      <c r="O503">
        <v>58</v>
      </c>
      <c r="P503">
        <v>8</v>
      </c>
      <c r="Q503" s="1">
        <v>-416.66666666666669</v>
      </c>
      <c r="R503">
        <v>8</v>
      </c>
      <c r="S503">
        <v>-6</v>
      </c>
    </row>
    <row r="504" spans="1:19">
      <c r="A504" t="s">
        <v>46</v>
      </c>
      <c r="B504" s="1">
        <v>-416.66666666666669</v>
      </c>
      <c r="C504">
        <v>192</v>
      </c>
      <c r="D504">
        <v>0</v>
      </c>
      <c r="E504">
        <v>108</v>
      </c>
      <c r="F504">
        <v>120</v>
      </c>
      <c r="G504">
        <v>152</v>
      </c>
      <c r="H504">
        <v>16</v>
      </c>
      <c r="I504">
        <v>300</v>
      </c>
      <c r="J504" s="1">
        <v>-416.66666666666669</v>
      </c>
      <c r="K504" t="s">
        <v>237</v>
      </c>
      <c r="M504" s="1"/>
      <c r="Q504" s="1"/>
    </row>
    <row r="505" spans="1:19">
      <c r="A505" t="s">
        <v>64</v>
      </c>
      <c r="B505" s="1">
        <v>-416.66666666666669</v>
      </c>
      <c r="C505">
        <v>128</v>
      </c>
      <c r="D505">
        <v>28</v>
      </c>
      <c r="E505">
        <v>0</v>
      </c>
      <c r="F505">
        <v>0</v>
      </c>
      <c r="G505">
        <v>12</v>
      </c>
      <c r="H505">
        <v>48</v>
      </c>
      <c r="I505">
        <v>16</v>
      </c>
      <c r="J505" s="1">
        <v>-416.66666666666669</v>
      </c>
      <c r="K505">
        <v>40</v>
      </c>
      <c r="L505">
        <v>42</v>
      </c>
      <c r="M505" s="1">
        <v>-416.66666666666669</v>
      </c>
      <c r="N505">
        <v>96</v>
      </c>
      <c r="O505">
        <v>97</v>
      </c>
      <c r="P505" s="12">
        <v>98</v>
      </c>
      <c r="Q505" s="1">
        <v>-416.66666666666669</v>
      </c>
      <c r="R505">
        <v>0</v>
      </c>
      <c r="S505">
        <v>126</v>
      </c>
    </row>
    <row r="506" spans="1:19">
      <c r="A506" t="s">
        <v>64</v>
      </c>
      <c r="B506" s="1">
        <v>-416.66666666666669</v>
      </c>
      <c r="C506">
        <v>52</v>
      </c>
      <c r="D506">
        <v>40</v>
      </c>
      <c r="E506">
        <v>0</v>
      </c>
      <c r="F506">
        <v>0</v>
      </c>
      <c r="G506">
        <v>12</v>
      </c>
      <c r="H506">
        <v>32</v>
      </c>
      <c r="I506">
        <v>24</v>
      </c>
      <c r="J506" s="1">
        <v>-416.66666666666669</v>
      </c>
      <c r="K506">
        <v>36</v>
      </c>
      <c r="L506">
        <v>36</v>
      </c>
      <c r="M506" s="1">
        <v>-416.66666666666669</v>
      </c>
      <c r="N506">
        <v>92</v>
      </c>
      <c r="O506">
        <v>92</v>
      </c>
      <c r="P506">
        <v>92</v>
      </c>
      <c r="Q506" s="1">
        <v>-416.66666666666669</v>
      </c>
      <c r="R506">
        <v>0</v>
      </c>
      <c r="S506">
        <v>126</v>
      </c>
    </row>
    <row r="507" spans="1:19">
      <c r="A507" t="s">
        <v>64</v>
      </c>
      <c r="B507" s="1">
        <v>-416.66666666666669</v>
      </c>
      <c r="C507">
        <v>12</v>
      </c>
      <c r="D507">
        <v>56</v>
      </c>
      <c r="E507">
        <v>0</v>
      </c>
      <c r="F507">
        <v>0</v>
      </c>
      <c r="G507">
        <v>16</v>
      </c>
      <c r="H507">
        <v>20</v>
      </c>
      <c r="I507">
        <v>32</v>
      </c>
      <c r="J507" s="1">
        <v>-416.66666666666669</v>
      </c>
      <c r="K507">
        <v>32</v>
      </c>
      <c r="L507">
        <v>32</v>
      </c>
      <c r="M507" s="1">
        <v>-416.66666666666669</v>
      </c>
      <c r="N507">
        <v>86</v>
      </c>
      <c r="O507">
        <v>85</v>
      </c>
      <c r="P507">
        <v>84</v>
      </c>
      <c r="Q507" s="1">
        <v>-416.66666666666669</v>
      </c>
      <c r="R507">
        <v>0</v>
      </c>
      <c r="S507">
        <v>126</v>
      </c>
    </row>
    <row r="508" spans="1:19">
      <c r="A508" t="s">
        <v>64</v>
      </c>
      <c r="B508" s="1">
        <v>-416.66666666666669</v>
      </c>
      <c r="C508">
        <v>12</v>
      </c>
      <c r="D508">
        <v>80</v>
      </c>
      <c r="E508">
        <v>0</v>
      </c>
      <c r="F508">
        <v>0</v>
      </c>
      <c r="G508">
        <v>20</v>
      </c>
      <c r="H508">
        <v>16</v>
      </c>
      <c r="I508">
        <v>36</v>
      </c>
      <c r="J508" s="1">
        <v>-416.66666666666669</v>
      </c>
      <c r="K508">
        <v>10</v>
      </c>
      <c r="L508">
        <v>52</v>
      </c>
      <c r="M508" s="1">
        <v>-416.66666666666669</v>
      </c>
      <c r="N508">
        <v>80</v>
      </c>
      <c r="O508">
        <v>80</v>
      </c>
      <c r="P508">
        <v>80</v>
      </c>
      <c r="Q508" s="1">
        <v>-416.66666666666669</v>
      </c>
      <c r="R508">
        <v>-4</v>
      </c>
      <c r="S508">
        <v>126</v>
      </c>
    </row>
    <row r="509" spans="1:19">
      <c r="A509" t="s">
        <v>64</v>
      </c>
      <c r="B509" s="1">
        <v>-416.66666666666669</v>
      </c>
      <c r="C509">
        <v>16</v>
      </c>
      <c r="D509">
        <v>116</v>
      </c>
      <c r="E509">
        <v>0</v>
      </c>
      <c r="F509">
        <v>0</v>
      </c>
      <c r="G509">
        <v>28</v>
      </c>
      <c r="H509">
        <v>16</v>
      </c>
      <c r="I509">
        <v>64</v>
      </c>
      <c r="J509" s="1">
        <v>-416.66666666666669</v>
      </c>
      <c r="K509">
        <v>0</v>
      </c>
      <c r="L509">
        <v>60</v>
      </c>
      <c r="M509" s="1">
        <v>-416.66666666666669</v>
      </c>
      <c r="N509">
        <v>72</v>
      </c>
      <c r="O509">
        <v>80</v>
      </c>
      <c r="P509">
        <v>88</v>
      </c>
      <c r="Q509" s="1">
        <v>-416.66666666666669</v>
      </c>
      <c r="R509">
        <v>-10</v>
      </c>
      <c r="S509">
        <v>128</v>
      </c>
    </row>
    <row r="510" spans="1:19">
      <c r="A510" t="s">
        <v>64</v>
      </c>
      <c r="B510" s="1">
        <v>-416.66666666666669</v>
      </c>
      <c r="C510">
        <v>16</v>
      </c>
      <c r="D510">
        <v>88</v>
      </c>
      <c r="E510">
        <v>4</v>
      </c>
      <c r="F510">
        <v>0</v>
      </c>
      <c r="G510">
        <v>32</v>
      </c>
      <c r="H510">
        <v>16</v>
      </c>
      <c r="I510">
        <v>88</v>
      </c>
      <c r="J510" s="1">
        <v>-416.66666666666669</v>
      </c>
      <c r="K510">
        <v>10</v>
      </c>
      <c r="L510">
        <v>60</v>
      </c>
      <c r="M510" s="1">
        <v>-416.66666666666669</v>
      </c>
      <c r="N510">
        <v>70</v>
      </c>
      <c r="O510">
        <v>77</v>
      </c>
      <c r="P510" s="12">
        <v>84</v>
      </c>
      <c r="Q510" s="1">
        <v>-416.66666666666669</v>
      </c>
      <c r="R510">
        <v>-8</v>
      </c>
      <c r="S510">
        <v>130</v>
      </c>
    </row>
    <row r="511" spans="1:19">
      <c r="A511" t="s">
        <v>64</v>
      </c>
      <c r="B511" s="1">
        <v>-416.66666666666669</v>
      </c>
      <c r="C511">
        <v>16</v>
      </c>
      <c r="D511">
        <v>4</v>
      </c>
      <c r="E511">
        <v>4</v>
      </c>
      <c r="F511">
        <v>0</v>
      </c>
      <c r="G511">
        <v>32</v>
      </c>
      <c r="H511">
        <v>20</v>
      </c>
      <c r="I511">
        <v>116</v>
      </c>
      <c r="J511" s="1">
        <v>-416.66666666666669</v>
      </c>
      <c r="K511">
        <v>27</v>
      </c>
      <c r="L511">
        <v>33</v>
      </c>
      <c r="M511" s="1">
        <v>-416.66666666666669</v>
      </c>
      <c r="N511">
        <v>60</v>
      </c>
      <c r="O511">
        <v>72</v>
      </c>
      <c r="P511" s="12">
        <v>84</v>
      </c>
      <c r="Q511" s="1">
        <v>-416.66666666666669</v>
      </c>
      <c r="R511">
        <v>-6</v>
      </c>
      <c r="S511">
        <v>132</v>
      </c>
    </row>
    <row r="512" spans="1:19">
      <c r="A512" t="s">
        <v>62</v>
      </c>
      <c r="B512" s="1">
        <v>-416.66666666666669</v>
      </c>
      <c r="C512">
        <v>20</v>
      </c>
      <c r="D512">
        <v>0</v>
      </c>
      <c r="E512">
        <v>4</v>
      </c>
      <c r="F512">
        <v>0</v>
      </c>
      <c r="G512">
        <v>24</v>
      </c>
      <c r="H512">
        <v>28</v>
      </c>
      <c r="I512">
        <v>136</v>
      </c>
      <c r="J512" s="1">
        <v>-416.66666666666669</v>
      </c>
      <c r="K512">
        <v>52</v>
      </c>
      <c r="L512">
        <v>10</v>
      </c>
      <c r="M512" s="1">
        <v>-416.66666666666669</v>
      </c>
      <c r="N512">
        <v>48</v>
      </c>
      <c r="O512">
        <v>56</v>
      </c>
      <c r="P512">
        <v>64</v>
      </c>
      <c r="Q512" s="1">
        <v>-416.66666666666669</v>
      </c>
      <c r="R512">
        <v>0</v>
      </c>
      <c r="S512">
        <v>134</v>
      </c>
    </row>
    <row r="513" spans="1:19">
      <c r="A513" t="s">
        <v>62</v>
      </c>
      <c r="B513" s="1">
        <v>-416.66666666666669</v>
      </c>
      <c r="C513">
        <v>20</v>
      </c>
      <c r="D513">
        <v>0</v>
      </c>
      <c r="E513">
        <v>8</v>
      </c>
      <c r="F513">
        <v>0</v>
      </c>
      <c r="G513">
        <v>16</v>
      </c>
      <c r="H513">
        <v>32</v>
      </c>
      <c r="I513">
        <v>156</v>
      </c>
      <c r="J513" s="1">
        <v>-416.66666666666669</v>
      </c>
      <c r="K513">
        <v>0</v>
      </c>
      <c r="L513">
        <v>0</v>
      </c>
      <c r="M513" s="1">
        <v>-416.66666666666669</v>
      </c>
      <c r="N513">
        <v>62</v>
      </c>
      <c r="O513">
        <v>60</v>
      </c>
      <c r="P513">
        <v>58</v>
      </c>
      <c r="Q513" s="1">
        <v>-416.66666666666669</v>
      </c>
      <c r="R513">
        <v>0</v>
      </c>
      <c r="S513">
        <v>134</v>
      </c>
    </row>
    <row r="514" spans="1:19">
      <c r="A514" t="s">
        <v>62</v>
      </c>
      <c r="B514" s="1">
        <v>-416.66666666666669</v>
      </c>
      <c r="C514">
        <v>24</v>
      </c>
      <c r="D514">
        <v>0</v>
      </c>
      <c r="E514">
        <v>8</v>
      </c>
      <c r="F514">
        <v>0</v>
      </c>
      <c r="G514">
        <v>12</v>
      </c>
      <c r="H514">
        <v>40</v>
      </c>
      <c r="I514">
        <v>188</v>
      </c>
      <c r="J514" s="1">
        <v>-416.66666666666669</v>
      </c>
      <c r="K514">
        <v>25</v>
      </c>
      <c r="L514">
        <v>35</v>
      </c>
      <c r="M514" s="1">
        <v>-416.66666666666669</v>
      </c>
      <c r="N514">
        <v>56</v>
      </c>
      <c r="O514">
        <v>58</v>
      </c>
      <c r="P514">
        <v>60</v>
      </c>
      <c r="Q514" s="1">
        <v>-416.66666666666669</v>
      </c>
      <c r="R514">
        <v>0</v>
      </c>
      <c r="S514">
        <v>134</v>
      </c>
    </row>
    <row r="515" spans="1:19">
      <c r="A515" t="s">
        <v>62</v>
      </c>
      <c r="B515" s="1">
        <v>-416.66666666666669</v>
      </c>
      <c r="C515">
        <v>28</v>
      </c>
      <c r="D515">
        <v>0</v>
      </c>
      <c r="E515">
        <v>8</v>
      </c>
      <c r="F515">
        <v>0</v>
      </c>
      <c r="G515">
        <v>4</v>
      </c>
      <c r="H515">
        <v>52</v>
      </c>
      <c r="I515">
        <v>216</v>
      </c>
      <c r="J515" s="1">
        <v>-416.66666666666669</v>
      </c>
      <c r="K515">
        <v>33</v>
      </c>
      <c r="L515">
        <v>27</v>
      </c>
      <c r="M515" s="1">
        <v>-416.66666666666669</v>
      </c>
      <c r="N515">
        <v>58</v>
      </c>
      <c r="O515">
        <v>58</v>
      </c>
      <c r="P515">
        <v>58</v>
      </c>
      <c r="Q515" s="1">
        <v>-416.66666666666669</v>
      </c>
      <c r="R515">
        <v>0</v>
      </c>
      <c r="S515">
        <v>134</v>
      </c>
    </row>
    <row r="516" spans="1:19">
      <c r="A516" t="s">
        <v>62</v>
      </c>
      <c r="B516" s="1">
        <v>-416.66666666666669</v>
      </c>
      <c r="C516">
        <v>24</v>
      </c>
      <c r="D516">
        <v>0</v>
      </c>
      <c r="E516">
        <v>8</v>
      </c>
      <c r="F516">
        <v>0</v>
      </c>
      <c r="G516">
        <v>0</v>
      </c>
      <c r="H516">
        <v>68</v>
      </c>
      <c r="I516">
        <v>240</v>
      </c>
      <c r="J516" s="1">
        <v>-416.66666666666669</v>
      </c>
      <c r="K516">
        <v>27</v>
      </c>
      <c r="L516">
        <v>33</v>
      </c>
      <c r="M516" s="1">
        <v>-416.66666666666669</v>
      </c>
      <c r="N516">
        <v>58</v>
      </c>
      <c r="O516">
        <v>58</v>
      </c>
      <c r="P516">
        <v>58</v>
      </c>
      <c r="Q516" s="1">
        <v>-416.66666666666669</v>
      </c>
      <c r="R516">
        <v>0</v>
      </c>
      <c r="S516">
        <v>134</v>
      </c>
    </row>
    <row r="517" spans="1:19">
      <c r="A517" t="s">
        <v>62</v>
      </c>
      <c r="B517" s="1">
        <v>-416.66666666666669</v>
      </c>
      <c r="C517">
        <v>24</v>
      </c>
      <c r="D517">
        <v>0</v>
      </c>
      <c r="E517">
        <v>12</v>
      </c>
      <c r="F517">
        <v>0</v>
      </c>
      <c r="G517">
        <v>0</v>
      </c>
      <c r="H517">
        <v>84</v>
      </c>
      <c r="I517">
        <v>200</v>
      </c>
      <c r="J517" s="1">
        <v>-416.66666666666669</v>
      </c>
      <c r="K517">
        <v>30</v>
      </c>
      <c r="L517">
        <v>30</v>
      </c>
      <c r="M517" s="1">
        <v>-416.66666666666669</v>
      </c>
      <c r="N517">
        <v>58</v>
      </c>
      <c r="O517">
        <v>58</v>
      </c>
      <c r="P517">
        <v>58</v>
      </c>
      <c r="Q517" s="1">
        <v>-416.66666666666669</v>
      </c>
      <c r="R517">
        <v>0</v>
      </c>
      <c r="S517">
        <v>134</v>
      </c>
    </row>
    <row r="518" spans="1:19">
      <c r="A518" t="s">
        <v>65</v>
      </c>
      <c r="B518" s="1">
        <v>-416.66666666666669</v>
      </c>
      <c r="C518">
        <v>32</v>
      </c>
      <c r="D518">
        <v>0</v>
      </c>
      <c r="E518">
        <v>12</v>
      </c>
      <c r="F518">
        <v>0</v>
      </c>
      <c r="G518">
        <v>0</v>
      </c>
      <c r="H518">
        <v>108</v>
      </c>
      <c r="I518">
        <v>108</v>
      </c>
      <c r="J518" s="1">
        <v>-416.66666666666669</v>
      </c>
      <c r="K518">
        <v>22</v>
      </c>
      <c r="L518">
        <v>22</v>
      </c>
      <c r="M518" s="1">
        <v>-416.66666666666669</v>
      </c>
      <c r="N518">
        <v>56</v>
      </c>
      <c r="O518">
        <v>57</v>
      </c>
      <c r="P518">
        <v>58</v>
      </c>
      <c r="Q518" s="1">
        <v>-416.66666666666669</v>
      </c>
      <c r="R518">
        <v>0</v>
      </c>
      <c r="S518">
        <v>134</v>
      </c>
    </row>
    <row r="519" spans="1:19">
      <c r="A519" t="s">
        <v>65</v>
      </c>
      <c r="B519" s="1">
        <v>-416.66666666666669</v>
      </c>
      <c r="C519">
        <v>40</v>
      </c>
      <c r="D519">
        <v>0</v>
      </c>
      <c r="E519">
        <v>16</v>
      </c>
      <c r="F519">
        <v>4</v>
      </c>
      <c r="G519">
        <v>0</v>
      </c>
      <c r="H519">
        <v>140</v>
      </c>
      <c r="I519">
        <v>4</v>
      </c>
      <c r="J519" s="1">
        <v>-416.66666666666669</v>
      </c>
      <c r="K519">
        <v>30</v>
      </c>
      <c r="L519">
        <v>30</v>
      </c>
      <c r="M519" s="1">
        <v>-416.66666666666669</v>
      </c>
      <c r="N519">
        <v>56</v>
      </c>
      <c r="O519">
        <v>56</v>
      </c>
      <c r="P519">
        <v>56</v>
      </c>
      <c r="Q519" s="1">
        <v>-416.66666666666669</v>
      </c>
      <c r="R519">
        <v>0</v>
      </c>
      <c r="S519">
        <v>134</v>
      </c>
    </row>
    <row r="520" spans="1:19">
      <c r="A520" t="s">
        <v>65</v>
      </c>
      <c r="B520" s="1">
        <v>-416.66666666666669</v>
      </c>
      <c r="C520">
        <v>44</v>
      </c>
      <c r="D520">
        <v>4</v>
      </c>
      <c r="E520">
        <v>20</v>
      </c>
      <c r="F520">
        <v>4</v>
      </c>
      <c r="G520">
        <v>0</v>
      </c>
      <c r="H520">
        <v>180</v>
      </c>
      <c r="I520">
        <v>0</v>
      </c>
      <c r="J520" s="1">
        <v>-416.66666666666669</v>
      </c>
      <c r="K520">
        <v>30</v>
      </c>
      <c r="L520">
        <v>30</v>
      </c>
      <c r="M520" s="1">
        <v>-416.66666666666669</v>
      </c>
      <c r="N520">
        <v>56</v>
      </c>
      <c r="O520">
        <v>57</v>
      </c>
      <c r="P520">
        <v>58</v>
      </c>
      <c r="Q520" s="1">
        <v>-416.66666666666669</v>
      </c>
      <c r="R520">
        <v>0</v>
      </c>
      <c r="S520">
        <v>134</v>
      </c>
    </row>
    <row r="521" spans="1:19">
      <c r="A521" t="s">
        <v>65</v>
      </c>
      <c r="B521" s="1">
        <v>-416.66666666666669</v>
      </c>
      <c r="C521">
        <v>56</v>
      </c>
      <c r="D521">
        <v>4</v>
      </c>
      <c r="E521">
        <v>20</v>
      </c>
      <c r="F521">
        <v>4</v>
      </c>
      <c r="G521">
        <v>0</v>
      </c>
      <c r="H521">
        <v>216</v>
      </c>
      <c r="I521">
        <v>0</v>
      </c>
      <c r="J521" s="1">
        <v>-416.66666666666669</v>
      </c>
      <c r="K521">
        <v>29</v>
      </c>
      <c r="L521">
        <v>31</v>
      </c>
      <c r="M521" s="1">
        <v>-416.66666666666669</v>
      </c>
      <c r="N521">
        <v>54</v>
      </c>
      <c r="O521">
        <v>57</v>
      </c>
      <c r="P521">
        <v>60</v>
      </c>
      <c r="Q521" s="1">
        <v>-416.66666666666669</v>
      </c>
      <c r="R521">
        <v>0</v>
      </c>
      <c r="S521">
        <v>134</v>
      </c>
    </row>
    <row r="522" spans="1:19">
      <c r="A522" t="s">
        <v>65</v>
      </c>
      <c r="B522" s="1">
        <v>-416.66666666666669</v>
      </c>
      <c r="C522">
        <v>68</v>
      </c>
      <c r="D522">
        <v>4</v>
      </c>
      <c r="E522">
        <v>28</v>
      </c>
      <c r="F522">
        <v>4</v>
      </c>
      <c r="G522">
        <v>0</v>
      </c>
      <c r="H522">
        <v>140</v>
      </c>
      <c r="I522">
        <v>0</v>
      </c>
      <c r="J522" s="1">
        <v>-416.66666666666669</v>
      </c>
      <c r="K522">
        <v>30</v>
      </c>
      <c r="L522">
        <v>30</v>
      </c>
      <c r="M522" s="1">
        <v>-416.66666666666669</v>
      </c>
      <c r="N522">
        <v>58</v>
      </c>
      <c r="O522">
        <v>59</v>
      </c>
      <c r="P522">
        <v>60</v>
      </c>
      <c r="Q522" s="1">
        <v>-416.66666666666669</v>
      </c>
      <c r="R522">
        <v>0</v>
      </c>
      <c r="S522">
        <v>134</v>
      </c>
    </row>
    <row r="523" spans="1:19">
      <c r="A523" t="s">
        <v>65</v>
      </c>
      <c r="B523" s="1">
        <v>-416.66666666666669</v>
      </c>
      <c r="C523">
        <v>80</v>
      </c>
      <c r="D523">
        <v>8</v>
      </c>
      <c r="E523">
        <v>32</v>
      </c>
      <c r="F523">
        <v>8</v>
      </c>
      <c r="G523">
        <v>0</v>
      </c>
      <c r="H523">
        <v>8</v>
      </c>
      <c r="I523">
        <v>0</v>
      </c>
      <c r="J523" s="1">
        <v>-416.66666666666669</v>
      </c>
      <c r="K523">
        <v>30</v>
      </c>
      <c r="L523">
        <v>30</v>
      </c>
      <c r="M523" s="1">
        <v>-416.66666666666669</v>
      </c>
      <c r="N523">
        <v>56</v>
      </c>
      <c r="O523">
        <v>56</v>
      </c>
      <c r="P523">
        <v>56</v>
      </c>
      <c r="Q523" s="1">
        <v>-416.66666666666669</v>
      </c>
      <c r="R523">
        <v>0</v>
      </c>
      <c r="S523">
        <v>134</v>
      </c>
    </row>
    <row r="524" spans="1:19">
      <c r="A524" t="s">
        <v>65</v>
      </c>
      <c r="B524" s="1">
        <v>-416.66666666666669</v>
      </c>
      <c r="C524">
        <v>96</v>
      </c>
      <c r="D524">
        <v>8</v>
      </c>
      <c r="E524">
        <v>40</v>
      </c>
      <c r="F524">
        <v>8</v>
      </c>
      <c r="G524">
        <v>0</v>
      </c>
      <c r="H524">
        <v>0</v>
      </c>
      <c r="I524">
        <v>0</v>
      </c>
      <c r="J524" s="1">
        <v>-416.66666666666669</v>
      </c>
      <c r="K524">
        <v>30</v>
      </c>
      <c r="L524">
        <v>30</v>
      </c>
      <c r="M524" s="1">
        <v>-416.66666666666669</v>
      </c>
      <c r="N524">
        <v>56</v>
      </c>
      <c r="O524">
        <v>58</v>
      </c>
      <c r="P524">
        <v>60</v>
      </c>
      <c r="Q524" s="1">
        <v>-416.66666666666669</v>
      </c>
      <c r="R524">
        <v>0</v>
      </c>
      <c r="S524">
        <v>134</v>
      </c>
    </row>
    <row r="525" spans="1:19">
      <c r="A525" t="s">
        <v>66</v>
      </c>
      <c r="B525" s="1">
        <v>-416.66666666666669</v>
      </c>
      <c r="C525">
        <v>120</v>
      </c>
      <c r="D525">
        <v>8</v>
      </c>
      <c r="E525">
        <v>52</v>
      </c>
      <c r="F525">
        <v>12</v>
      </c>
      <c r="G525">
        <v>0</v>
      </c>
      <c r="H525">
        <v>4</v>
      </c>
      <c r="I525">
        <v>0</v>
      </c>
      <c r="J525" s="1">
        <v>-416.66666666666669</v>
      </c>
      <c r="K525">
        <v>30</v>
      </c>
      <c r="L525">
        <v>7</v>
      </c>
      <c r="M525" s="1">
        <v>-416.66666666666669</v>
      </c>
      <c r="N525">
        <v>54</v>
      </c>
      <c r="O525">
        <v>57</v>
      </c>
      <c r="P525">
        <v>60</v>
      </c>
      <c r="Q525" s="1">
        <v>-416.66666666666669</v>
      </c>
      <c r="R525">
        <v>42</v>
      </c>
      <c r="S525">
        <v>134</v>
      </c>
    </row>
    <row r="526" spans="1:19">
      <c r="A526" t="s">
        <v>66</v>
      </c>
      <c r="B526" s="1">
        <v>-416.66666666666669</v>
      </c>
      <c r="C526">
        <v>156</v>
      </c>
      <c r="D526">
        <v>12</v>
      </c>
      <c r="E526">
        <v>64</v>
      </c>
      <c r="F526">
        <v>12</v>
      </c>
      <c r="G526">
        <v>0</v>
      </c>
      <c r="H526">
        <v>4</v>
      </c>
      <c r="I526">
        <v>0</v>
      </c>
      <c r="J526" s="1">
        <v>-416.66666666666669</v>
      </c>
      <c r="K526">
        <v>30</v>
      </c>
      <c r="L526">
        <v>7</v>
      </c>
      <c r="M526" s="1">
        <v>-416.66666666666669</v>
      </c>
      <c r="N526">
        <v>54</v>
      </c>
      <c r="O526">
        <v>50</v>
      </c>
      <c r="P526">
        <v>46</v>
      </c>
      <c r="Q526" s="1">
        <v>-416.66666666666669</v>
      </c>
      <c r="R526">
        <v>40</v>
      </c>
      <c r="S526">
        <v>134</v>
      </c>
    </row>
    <row r="527" spans="1:19">
      <c r="A527" t="s">
        <v>66</v>
      </c>
      <c r="B527" s="1">
        <v>-416.66666666666669</v>
      </c>
      <c r="C527">
        <v>216</v>
      </c>
      <c r="D527">
        <v>16</v>
      </c>
      <c r="E527">
        <v>72</v>
      </c>
      <c r="F527">
        <v>12</v>
      </c>
      <c r="G527">
        <v>0</v>
      </c>
      <c r="H527">
        <v>4</v>
      </c>
      <c r="I527">
        <v>0</v>
      </c>
      <c r="J527" s="1">
        <v>-416.66666666666669</v>
      </c>
      <c r="K527">
        <v>30</v>
      </c>
      <c r="L527">
        <v>7</v>
      </c>
      <c r="M527" s="1">
        <v>-416.66666666666669</v>
      </c>
      <c r="N527">
        <v>54</v>
      </c>
      <c r="O527">
        <v>47</v>
      </c>
      <c r="P527">
        <v>40</v>
      </c>
      <c r="Q527" s="1">
        <v>-416.66666666666669</v>
      </c>
      <c r="R527">
        <v>40</v>
      </c>
      <c r="S527">
        <v>132</v>
      </c>
    </row>
    <row r="528" spans="1:19">
      <c r="A528" t="s">
        <v>66</v>
      </c>
      <c r="B528" s="1">
        <v>-416.66666666666669</v>
      </c>
      <c r="C528">
        <v>240</v>
      </c>
      <c r="D528">
        <v>28</v>
      </c>
      <c r="E528">
        <v>72</v>
      </c>
      <c r="F528">
        <v>12</v>
      </c>
      <c r="G528">
        <v>0</v>
      </c>
      <c r="H528">
        <v>4</v>
      </c>
      <c r="I528">
        <v>0</v>
      </c>
      <c r="J528" s="1">
        <v>-416.66666666666669</v>
      </c>
      <c r="K528">
        <v>30</v>
      </c>
      <c r="L528">
        <v>7</v>
      </c>
      <c r="M528" s="1">
        <v>-416.66666666666669</v>
      </c>
      <c r="N528">
        <v>56</v>
      </c>
      <c r="O528" s="12">
        <v>44</v>
      </c>
      <c r="P528">
        <v>32</v>
      </c>
      <c r="Q528" s="1">
        <v>-416.66666666666669</v>
      </c>
      <c r="R528">
        <v>36</v>
      </c>
      <c r="S528">
        <v>130</v>
      </c>
    </row>
    <row r="529" spans="1:19">
      <c r="A529" t="s">
        <v>66</v>
      </c>
      <c r="B529" s="1">
        <v>-416.66666666666669</v>
      </c>
      <c r="C529">
        <v>192</v>
      </c>
      <c r="D529">
        <v>36</v>
      </c>
      <c r="E529">
        <v>72</v>
      </c>
      <c r="F529">
        <v>8</v>
      </c>
      <c r="G529">
        <v>0</v>
      </c>
      <c r="H529">
        <v>4</v>
      </c>
      <c r="I529">
        <v>0</v>
      </c>
      <c r="J529" s="1">
        <v>-416.66666666666669</v>
      </c>
      <c r="K529">
        <v>30</v>
      </c>
      <c r="L529">
        <v>7</v>
      </c>
      <c r="M529" s="1">
        <v>-416.66666666666669</v>
      </c>
      <c r="N529">
        <v>58</v>
      </c>
      <c r="O529">
        <v>44</v>
      </c>
      <c r="P529">
        <v>30</v>
      </c>
      <c r="Q529" s="1">
        <v>-416.66666666666669</v>
      </c>
      <c r="R529">
        <v>32</v>
      </c>
      <c r="S529">
        <v>126</v>
      </c>
    </row>
    <row r="530" spans="1:19">
      <c r="A530" t="s">
        <v>66</v>
      </c>
      <c r="B530" s="1">
        <v>-416.66666666666669</v>
      </c>
      <c r="C530">
        <v>160</v>
      </c>
      <c r="D530">
        <v>52</v>
      </c>
      <c r="E530">
        <v>68</v>
      </c>
      <c r="F530">
        <v>4</v>
      </c>
      <c r="G530">
        <v>0</v>
      </c>
      <c r="H530">
        <v>0</v>
      </c>
      <c r="I530">
        <v>0</v>
      </c>
      <c r="J530" s="1">
        <v>-416.66666666666669</v>
      </c>
      <c r="K530">
        <v>30</v>
      </c>
      <c r="L530">
        <v>7</v>
      </c>
      <c r="M530" s="1">
        <v>-416.66666666666669</v>
      </c>
      <c r="N530">
        <v>58</v>
      </c>
      <c r="O530">
        <v>43</v>
      </c>
      <c r="P530">
        <v>28</v>
      </c>
      <c r="Q530" s="1">
        <v>-416.66666666666669</v>
      </c>
      <c r="R530">
        <v>28</v>
      </c>
      <c r="S530">
        <v>120</v>
      </c>
    </row>
    <row r="531" spans="1:19">
      <c r="A531" t="s">
        <v>66</v>
      </c>
      <c r="B531" s="1">
        <v>-416.66666666666669</v>
      </c>
      <c r="C531">
        <v>152</v>
      </c>
      <c r="D531">
        <v>68</v>
      </c>
      <c r="E531">
        <v>60</v>
      </c>
      <c r="F531">
        <v>4</v>
      </c>
      <c r="G531">
        <v>0</v>
      </c>
      <c r="H531">
        <v>0</v>
      </c>
      <c r="I531">
        <v>0</v>
      </c>
      <c r="J531" s="1">
        <v>-416.66666666666669</v>
      </c>
      <c r="K531">
        <v>30</v>
      </c>
      <c r="L531">
        <v>7</v>
      </c>
      <c r="M531" s="1">
        <v>-416.66666666666669</v>
      </c>
      <c r="N531">
        <v>56</v>
      </c>
      <c r="O531">
        <v>40</v>
      </c>
      <c r="P531">
        <v>24</v>
      </c>
      <c r="Q531" s="1">
        <v>-416.66666666666669</v>
      </c>
      <c r="R531">
        <v>22</v>
      </c>
      <c r="S531">
        <v>116</v>
      </c>
    </row>
    <row r="532" spans="1:19">
      <c r="A532" t="s">
        <v>66</v>
      </c>
      <c r="B532" s="1">
        <v>-416.66666666666669</v>
      </c>
      <c r="C532">
        <v>136</v>
      </c>
      <c r="D532">
        <v>88</v>
      </c>
      <c r="E532">
        <v>48</v>
      </c>
      <c r="F532">
        <v>0</v>
      </c>
      <c r="G532">
        <v>0</v>
      </c>
      <c r="H532">
        <v>0</v>
      </c>
      <c r="I532">
        <v>8</v>
      </c>
      <c r="J532" s="1">
        <v>-416.66666666666669</v>
      </c>
      <c r="K532">
        <v>30</v>
      </c>
      <c r="L532">
        <v>7</v>
      </c>
      <c r="M532" s="1">
        <v>-416.66666666666669</v>
      </c>
      <c r="N532">
        <v>56</v>
      </c>
      <c r="O532">
        <v>39</v>
      </c>
      <c r="P532">
        <v>22</v>
      </c>
      <c r="Q532" s="1">
        <v>-416.66666666666669</v>
      </c>
      <c r="R532">
        <v>18</v>
      </c>
      <c r="S532">
        <v>110</v>
      </c>
    </row>
    <row r="533" spans="1:19">
      <c r="A533" t="s">
        <v>66</v>
      </c>
      <c r="B533" s="1">
        <v>-416.66666666666669</v>
      </c>
      <c r="C533">
        <v>120</v>
      </c>
      <c r="D533">
        <v>108</v>
      </c>
      <c r="E533">
        <v>32</v>
      </c>
      <c r="F533">
        <v>0</v>
      </c>
      <c r="G533">
        <v>0</v>
      </c>
      <c r="H533">
        <v>4</v>
      </c>
      <c r="I533">
        <v>8</v>
      </c>
      <c r="J533" s="1">
        <v>-416.66666666666669</v>
      </c>
      <c r="K533">
        <v>20</v>
      </c>
      <c r="L533">
        <v>7</v>
      </c>
      <c r="M533" s="1">
        <v>-416.66666666666669</v>
      </c>
      <c r="N533">
        <v>54</v>
      </c>
      <c r="O533">
        <v>37</v>
      </c>
      <c r="P533">
        <v>20</v>
      </c>
      <c r="Q533" s="1">
        <v>-416.66666666666669</v>
      </c>
      <c r="R533">
        <v>12</v>
      </c>
      <c r="S533">
        <v>104</v>
      </c>
    </row>
    <row r="534" spans="1:19">
      <c r="A534" t="s">
        <v>66</v>
      </c>
      <c r="B534" s="1">
        <v>-416.66666666666669</v>
      </c>
      <c r="C534">
        <v>108</v>
      </c>
      <c r="D534">
        <v>128</v>
      </c>
      <c r="E534">
        <v>20</v>
      </c>
      <c r="F534">
        <v>0</v>
      </c>
      <c r="G534">
        <v>0</v>
      </c>
      <c r="H534">
        <v>4</v>
      </c>
      <c r="I534">
        <v>8</v>
      </c>
      <c r="J534" s="1">
        <v>-416.66666666666669</v>
      </c>
      <c r="K534">
        <v>20</v>
      </c>
      <c r="L534">
        <v>7</v>
      </c>
      <c r="M534" s="1">
        <v>-416.66666666666669</v>
      </c>
      <c r="N534">
        <v>48</v>
      </c>
      <c r="O534">
        <v>33</v>
      </c>
      <c r="P534">
        <v>18</v>
      </c>
      <c r="Q534" s="1">
        <v>-416.66666666666669</v>
      </c>
      <c r="R534">
        <v>6</v>
      </c>
      <c r="S534">
        <v>100</v>
      </c>
    </row>
    <row r="535" spans="1:19">
      <c r="A535" t="s">
        <v>66</v>
      </c>
      <c r="B535" s="1">
        <v>-416.66666666666669</v>
      </c>
      <c r="C535">
        <v>80</v>
      </c>
      <c r="D535">
        <v>144</v>
      </c>
      <c r="E535">
        <v>12</v>
      </c>
      <c r="F535">
        <v>0</v>
      </c>
      <c r="G535">
        <v>0</v>
      </c>
      <c r="H535">
        <v>4</v>
      </c>
      <c r="I535">
        <v>8</v>
      </c>
      <c r="J535" s="1">
        <v>-416.66666666666669</v>
      </c>
      <c r="K535">
        <v>20</v>
      </c>
      <c r="L535">
        <v>7</v>
      </c>
      <c r="M535" s="1">
        <v>-416.66666666666669</v>
      </c>
      <c r="N535">
        <v>46</v>
      </c>
      <c r="O535" s="12">
        <v>31</v>
      </c>
      <c r="P535">
        <v>16</v>
      </c>
      <c r="Q535" s="1">
        <v>-416.66666666666669</v>
      </c>
      <c r="R535">
        <v>2</v>
      </c>
      <c r="S535">
        <v>94</v>
      </c>
    </row>
    <row r="536" spans="1:19">
      <c r="A536" t="s">
        <v>30</v>
      </c>
      <c r="B536" s="1">
        <v>-416.66666666666669</v>
      </c>
      <c r="C536">
        <v>68</v>
      </c>
      <c r="D536">
        <v>136</v>
      </c>
      <c r="E536">
        <v>4</v>
      </c>
      <c r="F536">
        <v>0</v>
      </c>
      <c r="G536">
        <v>0</v>
      </c>
      <c r="H536">
        <v>0</v>
      </c>
      <c r="I536">
        <v>4</v>
      </c>
      <c r="J536" s="1">
        <v>-416.66666666666669</v>
      </c>
      <c r="K536">
        <v>13</v>
      </c>
      <c r="L536">
        <v>47</v>
      </c>
      <c r="M536" s="1">
        <v>-416.66666666666669</v>
      </c>
      <c r="N536">
        <v>42</v>
      </c>
      <c r="O536">
        <v>31</v>
      </c>
      <c r="P536" s="12">
        <v>20</v>
      </c>
      <c r="Q536" s="1">
        <v>-416.66666666666669</v>
      </c>
      <c r="R536">
        <v>2</v>
      </c>
      <c r="S536">
        <v>90</v>
      </c>
    </row>
    <row r="537" spans="1:19">
      <c r="A537" t="s">
        <v>30</v>
      </c>
      <c r="B537" s="1">
        <v>-416.66666666666669</v>
      </c>
      <c r="C537">
        <v>56</v>
      </c>
      <c r="D537">
        <v>128</v>
      </c>
      <c r="E537">
        <v>4</v>
      </c>
      <c r="F537">
        <v>0</v>
      </c>
      <c r="G537">
        <v>0</v>
      </c>
      <c r="H537">
        <v>0</v>
      </c>
      <c r="I537">
        <v>8</v>
      </c>
      <c r="J537" s="1">
        <v>-416.66666666666669</v>
      </c>
      <c r="K537">
        <v>23</v>
      </c>
      <c r="L537">
        <v>37</v>
      </c>
      <c r="M537" s="1">
        <v>-416.66666666666669</v>
      </c>
      <c r="N537">
        <v>40</v>
      </c>
      <c r="O537">
        <v>37</v>
      </c>
      <c r="P537">
        <v>34</v>
      </c>
      <c r="Q537" s="1">
        <v>-416.66666666666669</v>
      </c>
      <c r="R537">
        <v>0</v>
      </c>
      <c r="S537">
        <v>88</v>
      </c>
    </row>
    <row r="538" spans="1:19">
      <c r="A538" t="s">
        <v>30</v>
      </c>
      <c r="B538" s="1">
        <v>-416.66666666666669</v>
      </c>
      <c r="C538">
        <v>60</v>
      </c>
      <c r="D538">
        <v>136</v>
      </c>
      <c r="E538">
        <v>4</v>
      </c>
      <c r="F538">
        <v>0</v>
      </c>
      <c r="G538">
        <v>0</v>
      </c>
      <c r="H538">
        <v>4</v>
      </c>
      <c r="I538">
        <v>8</v>
      </c>
      <c r="J538" s="1">
        <v>-416.66666666666669</v>
      </c>
      <c r="K538">
        <v>30</v>
      </c>
      <c r="L538">
        <v>30</v>
      </c>
      <c r="M538" s="1">
        <v>-416.66666666666669</v>
      </c>
      <c r="N538">
        <v>38</v>
      </c>
      <c r="O538">
        <v>39</v>
      </c>
      <c r="P538" s="12">
        <v>40</v>
      </c>
      <c r="Q538" s="1">
        <v>-416.66666666666669</v>
      </c>
      <c r="R538">
        <v>0</v>
      </c>
      <c r="S538">
        <v>88</v>
      </c>
    </row>
    <row r="539" spans="1:19">
      <c r="A539" t="s">
        <v>30</v>
      </c>
      <c r="B539" s="1">
        <v>-416.66666666666669</v>
      </c>
      <c r="C539">
        <v>64</v>
      </c>
      <c r="D539">
        <v>136</v>
      </c>
      <c r="E539">
        <v>4</v>
      </c>
      <c r="F539">
        <v>0</v>
      </c>
      <c r="G539">
        <v>0</v>
      </c>
      <c r="H539">
        <v>4</v>
      </c>
      <c r="I539">
        <v>12</v>
      </c>
      <c r="J539" s="1">
        <v>-416.66666666666669</v>
      </c>
      <c r="K539">
        <v>46</v>
      </c>
      <c r="L539">
        <v>40</v>
      </c>
      <c r="M539" s="1">
        <v>-416.66666666666669</v>
      </c>
      <c r="N539">
        <v>46</v>
      </c>
      <c r="O539">
        <v>44</v>
      </c>
      <c r="P539" s="12">
        <v>42</v>
      </c>
      <c r="Q539" s="1">
        <v>-416.66666666666669</v>
      </c>
      <c r="R539">
        <v>0</v>
      </c>
      <c r="S539">
        <v>88</v>
      </c>
    </row>
    <row r="540" spans="1:19">
      <c r="A540" t="s">
        <v>30</v>
      </c>
      <c r="B540" s="1">
        <v>-416.66666666666669</v>
      </c>
      <c r="C540">
        <v>64</v>
      </c>
      <c r="D540">
        <v>140</v>
      </c>
      <c r="E540">
        <v>4</v>
      </c>
      <c r="F540">
        <v>0</v>
      </c>
      <c r="G540">
        <v>0</v>
      </c>
      <c r="H540">
        <v>0</v>
      </c>
      <c r="I540">
        <v>12</v>
      </c>
      <c r="J540" s="1">
        <v>-416.66666666666669</v>
      </c>
      <c r="K540">
        <v>73</v>
      </c>
      <c r="L540">
        <v>65</v>
      </c>
      <c r="M540" s="1">
        <v>-416.66666666666669</v>
      </c>
      <c r="N540">
        <v>68</v>
      </c>
      <c r="O540">
        <v>59</v>
      </c>
      <c r="P540">
        <v>50</v>
      </c>
      <c r="Q540" s="1">
        <v>-416.66666666666669</v>
      </c>
      <c r="R540">
        <v>0</v>
      </c>
      <c r="S540">
        <v>88</v>
      </c>
    </row>
    <row r="541" spans="1:19">
      <c r="A541" t="s">
        <v>30</v>
      </c>
      <c r="B541" s="1">
        <v>-416.66666666666669</v>
      </c>
      <c r="C541">
        <v>60</v>
      </c>
      <c r="D541">
        <v>144</v>
      </c>
      <c r="E541">
        <v>4</v>
      </c>
      <c r="F541">
        <v>0</v>
      </c>
      <c r="G541">
        <v>0</v>
      </c>
      <c r="H541">
        <v>4</v>
      </c>
      <c r="I541">
        <v>20</v>
      </c>
      <c r="J541" s="1">
        <v>-416.66666666666669</v>
      </c>
      <c r="K541">
        <v>100</v>
      </c>
      <c r="L541">
        <v>79</v>
      </c>
      <c r="M541" s="1">
        <v>-416.66666666666669</v>
      </c>
      <c r="N541">
        <v>104</v>
      </c>
      <c r="O541">
        <v>82</v>
      </c>
      <c r="P541">
        <v>60</v>
      </c>
      <c r="Q541" s="1">
        <v>-416.66666666666669</v>
      </c>
      <c r="R541">
        <v>2</v>
      </c>
      <c r="S541">
        <v>90</v>
      </c>
    </row>
    <row r="542" spans="1:19">
      <c r="A542" t="s">
        <v>30</v>
      </c>
      <c r="B542" s="1">
        <v>-416.66666666666669</v>
      </c>
      <c r="C542">
        <v>76</v>
      </c>
      <c r="D542">
        <v>156</v>
      </c>
      <c r="E542">
        <v>8</v>
      </c>
      <c r="F542">
        <v>0</v>
      </c>
      <c r="G542">
        <v>0</v>
      </c>
      <c r="H542">
        <v>4</v>
      </c>
      <c r="I542">
        <v>24</v>
      </c>
      <c r="J542" s="1">
        <v>-416.66666666666669</v>
      </c>
      <c r="K542">
        <v>100</v>
      </c>
      <c r="L542">
        <v>43</v>
      </c>
      <c r="M542" s="1">
        <v>-416.66666666666669</v>
      </c>
      <c r="N542">
        <v>148</v>
      </c>
      <c r="O542">
        <v>109</v>
      </c>
      <c r="P542">
        <v>70</v>
      </c>
      <c r="Q542" s="1">
        <v>-416.66666666666669</v>
      </c>
      <c r="R542">
        <v>6</v>
      </c>
      <c r="S542">
        <v>90</v>
      </c>
    </row>
    <row r="543" spans="1:19">
      <c r="A543" t="s">
        <v>30</v>
      </c>
      <c r="B543" s="1">
        <v>-416.66666666666669</v>
      </c>
      <c r="C543">
        <v>92</v>
      </c>
      <c r="D543">
        <v>164</v>
      </c>
      <c r="E543">
        <v>12</v>
      </c>
      <c r="F543">
        <v>0</v>
      </c>
      <c r="G543">
        <v>0</v>
      </c>
      <c r="H543">
        <v>4</v>
      </c>
      <c r="I543">
        <v>24</v>
      </c>
      <c r="J543" s="1">
        <v>-416.66666666666669</v>
      </c>
      <c r="K543">
        <v>100</v>
      </c>
      <c r="L543">
        <v>53</v>
      </c>
      <c r="M543" s="1">
        <v>-416.66666666666669</v>
      </c>
      <c r="N543">
        <v>152</v>
      </c>
      <c r="O543">
        <v>110</v>
      </c>
      <c r="P543" s="12">
        <v>68</v>
      </c>
      <c r="Q543" s="1">
        <v>-416.66666666666669</v>
      </c>
      <c r="R543">
        <v>8</v>
      </c>
      <c r="S543">
        <v>92</v>
      </c>
    </row>
    <row r="544" spans="1:19">
      <c r="A544" t="s">
        <v>30</v>
      </c>
      <c r="B544" s="1">
        <v>-416.66666666666669</v>
      </c>
      <c r="C544">
        <v>96</v>
      </c>
      <c r="D544">
        <v>172</v>
      </c>
      <c r="E544">
        <v>16</v>
      </c>
      <c r="F544">
        <v>0</v>
      </c>
      <c r="G544">
        <v>0</v>
      </c>
      <c r="H544">
        <v>4</v>
      </c>
      <c r="I544">
        <v>20</v>
      </c>
      <c r="J544" s="1">
        <v>-416.66666666666669</v>
      </c>
      <c r="K544">
        <v>100</v>
      </c>
      <c r="L544">
        <v>40</v>
      </c>
      <c r="M544" s="1">
        <v>-416.66666666666669</v>
      </c>
      <c r="N544">
        <v>148</v>
      </c>
      <c r="O544">
        <v>110</v>
      </c>
      <c r="P544">
        <v>72</v>
      </c>
      <c r="Q544" s="1">
        <v>-416.66666666666669</v>
      </c>
      <c r="R544">
        <v>10</v>
      </c>
      <c r="S544">
        <v>94</v>
      </c>
    </row>
    <row r="545" spans="1:19">
      <c r="A545" t="s">
        <v>30</v>
      </c>
      <c r="B545" s="1">
        <v>-416.66666666666669</v>
      </c>
      <c r="C545">
        <v>108</v>
      </c>
      <c r="D545">
        <v>172</v>
      </c>
      <c r="E545">
        <v>12</v>
      </c>
      <c r="F545">
        <v>0</v>
      </c>
      <c r="G545">
        <v>0</v>
      </c>
      <c r="H545">
        <v>4</v>
      </c>
      <c r="I545">
        <v>16</v>
      </c>
      <c r="J545" s="1">
        <v>-416.66666666666669</v>
      </c>
      <c r="K545">
        <v>100</v>
      </c>
      <c r="L545">
        <v>53</v>
      </c>
      <c r="M545" s="1">
        <v>-416.66666666666669</v>
      </c>
      <c r="N545">
        <v>138</v>
      </c>
      <c r="O545">
        <v>105</v>
      </c>
      <c r="P545">
        <v>72</v>
      </c>
      <c r="Q545" s="1">
        <v>-416.66666666666669</v>
      </c>
      <c r="R545">
        <v>10</v>
      </c>
      <c r="S545">
        <v>92</v>
      </c>
    </row>
    <row r="546" spans="1:19">
      <c r="A546" t="s">
        <v>30</v>
      </c>
      <c r="B546" s="1">
        <v>-416.66666666666669</v>
      </c>
      <c r="C546">
        <v>92</v>
      </c>
      <c r="D546">
        <v>168</v>
      </c>
      <c r="E546">
        <v>8</v>
      </c>
      <c r="F546">
        <v>0</v>
      </c>
      <c r="G546">
        <v>0</v>
      </c>
      <c r="H546">
        <v>4</v>
      </c>
      <c r="I546">
        <v>20</v>
      </c>
      <c r="J546" s="1">
        <v>-416.66666666666669</v>
      </c>
      <c r="K546">
        <v>100</v>
      </c>
      <c r="L546">
        <v>84</v>
      </c>
      <c r="M546" s="1">
        <v>-416.66666666666669</v>
      </c>
      <c r="N546">
        <v>116</v>
      </c>
      <c r="O546">
        <v>98</v>
      </c>
      <c r="P546">
        <v>80</v>
      </c>
      <c r="Q546" s="1">
        <v>-416.66666666666669</v>
      </c>
      <c r="R546">
        <v>8</v>
      </c>
      <c r="S546">
        <v>90</v>
      </c>
    </row>
    <row r="547" spans="1:19">
      <c r="A547" t="s">
        <v>30</v>
      </c>
      <c r="B547" s="1">
        <v>-416.66666666666669</v>
      </c>
      <c r="C547">
        <v>72</v>
      </c>
      <c r="D547">
        <v>156</v>
      </c>
      <c r="E547">
        <v>4</v>
      </c>
      <c r="F547">
        <v>0</v>
      </c>
      <c r="G547">
        <v>0</v>
      </c>
      <c r="H547">
        <v>8</v>
      </c>
      <c r="I547">
        <v>28</v>
      </c>
      <c r="J547" s="1">
        <v>-416.66666666666669</v>
      </c>
      <c r="K547">
        <v>95</v>
      </c>
      <c r="L547">
        <v>95</v>
      </c>
      <c r="M547" s="1">
        <v>-416.66666666666669</v>
      </c>
      <c r="N547">
        <v>168</v>
      </c>
      <c r="O547">
        <v>150</v>
      </c>
      <c r="P547">
        <v>132</v>
      </c>
      <c r="Q547" s="1">
        <v>-416.66666666666669</v>
      </c>
      <c r="R547">
        <v>6</v>
      </c>
      <c r="S547">
        <v>86</v>
      </c>
    </row>
    <row r="548" spans="1:19">
      <c r="A548" t="s">
        <v>30</v>
      </c>
      <c r="B548" s="1">
        <v>-416.66666666666669</v>
      </c>
      <c r="C548">
        <v>60</v>
      </c>
      <c r="D548">
        <v>156</v>
      </c>
      <c r="E548">
        <v>0</v>
      </c>
      <c r="F548">
        <v>0</v>
      </c>
      <c r="G548">
        <v>0</v>
      </c>
      <c r="H548">
        <v>64</v>
      </c>
      <c r="I548">
        <v>32</v>
      </c>
      <c r="J548" s="1">
        <v>-416.66666666666669</v>
      </c>
      <c r="K548">
        <v>98</v>
      </c>
      <c r="L548">
        <v>92</v>
      </c>
      <c r="M548" s="1">
        <v>-416.66666666666669</v>
      </c>
      <c r="N548">
        <v>142</v>
      </c>
      <c r="O548">
        <v>132</v>
      </c>
      <c r="P548">
        <v>122</v>
      </c>
      <c r="Q548" s="1">
        <v>-416.66666666666669</v>
      </c>
      <c r="R548">
        <v>4</v>
      </c>
      <c r="S548">
        <v>84</v>
      </c>
    </row>
    <row r="549" spans="1:19">
      <c r="A549" t="s">
        <v>30</v>
      </c>
      <c r="B549" s="1">
        <v>-416.66666666666669</v>
      </c>
      <c r="C549">
        <v>52</v>
      </c>
      <c r="D549">
        <v>132</v>
      </c>
      <c r="E549">
        <v>0</v>
      </c>
      <c r="F549">
        <v>0</v>
      </c>
      <c r="G549">
        <v>0</v>
      </c>
      <c r="H549">
        <v>108</v>
      </c>
      <c r="I549">
        <v>36</v>
      </c>
      <c r="J549" s="1">
        <v>-416.66666666666669</v>
      </c>
      <c r="K549">
        <v>70</v>
      </c>
      <c r="L549">
        <v>100</v>
      </c>
      <c r="M549" s="1">
        <v>-416.66666666666669</v>
      </c>
      <c r="N549">
        <v>120</v>
      </c>
      <c r="O549">
        <v>124</v>
      </c>
      <c r="P549">
        <v>128</v>
      </c>
      <c r="Q549" s="1">
        <v>-416.66666666666669</v>
      </c>
      <c r="R549">
        <v>0</v>
      </c>
      <c r="S549">
        <v>82</v>
      </c>
    </row>
    <row r="550" spans="1:19">
      <c r="A550" t="s">
        <v>30</v>
      </c>
      <c r="B550" s="1">
        <v>-416.66666666666669</v>
      </c>
      <c r="C550">
        <v>48</v>
      </c>
      <c r="D550">
        <v>124</v>
      </c>
      <c r="E550">
        <v>0</v>
      </c>
      <c r="F550">
        <v>0</v>
      </c>
      <c r="G550">
        <v>0</v>
      </c>
      <c r="H550">
        <v>136</v>
      </c>
      <c r="I550">
        <v>44</v>
      </c>
      <c r="J550" s="1">
        <v>-416.66666666666669</v>
      </c>
      <c r="K550">
        <v>67</v>
      </c>
      <c r="L550">
        <v>100</v>
      </c>
      <c r="M550" s="1">
        <v>-416.66666666666669</v>
      </c>
      <c r="N550">
        <v>126</v>
      </c>
      <c r="O550">
        <v>139</v>
      </c>
      <c r="P550">
        <v>152</v>
      </c>
      <c r="Q550" s="1">
        <v>-416.66666666666669</v>
      </c>
      <c r="R550">
        <v>-2</v>
      </c>
      <c r="S550">
        <v>80</v>
      </c>
    </row>
    <row r="551" spans="1:19">
      <c r="A551" t="s">
        <v>30</v>
      </c>
      <c r="B551" s="1">
        <v>-416.66666666666669</v>
      </c>
      <c r="C551">
        <v>48</v>
      </c>
      <c r="D551">
        <v>124</v>
      </c>
      <c r="E551">
        <v>0</v>
      </c>
      <c r="F551">
        <v>0</v>
      </c>
      <c r="G551">
        <v>0</v>
      </c>
      <c r="H551">
        <v>136</v>
      </c>
      <c r="I551">
        <v>40</v>
      </c>
      <c r="J551" s="1">
        <v>-416.66666666666669</v>
      </c>
      <c r="K551">
        <v>86</v>
      </c>
      <c r="L551">
        <v>100</v>
      </c>
      <c r="M551" s="1">
        <v>-416.66666666666669</v>
      </c>
      <c r="N551">
        <v>122</v>
      </c>
      <c r="O551">
        <v>135</v>
      </c>
      <c r="P551" s="12">
        <v>148</v>
      </c>
      <c r="Q551" s="1">
        <v>-416.66666666666669</v>
      </c>
      <c r="R551">
        <v>-2</v>
      </c>
      <c r="S551">
        <v>80</v>
      </c>
    </row>
    <row r="552" spans="1:19">
      <c r="A552" t="s">
        <v>30</v>
      </c>
      <c r="B552" s="1">
        <v>-416.66666666666669</v>
      </c>
      <c r="C552">
        <v>44</v>
      </c>
      <c r="D552">
        <v>120</v>
      </c>
      <c r="E552">
        <v>0</v>
      </c>
      <c r="F552">
        <v>0</v>
      </c>
      <c r="G552">
        <v>0</v>
      </c>
      <c r="H552">
        <v>140</v>
      </c>
      <c r="I552">
        <v>40</v>
      </c>
      <c r="J552" s="1">
        <v>-416.66666666666669</v>
      </c>
      <c r="K552">
        <v>75</v>
      </c>
      <c r="L552">
        <v>100</v>
      </c>
      <c r="M552" s="1">
        <v>-416.66666666666669</v>
      </c>
      <c r="N552">
        <v>118</v>
      </c>
      <c r="O552">
        <v>134</v>
      </c>
      <c r="P552" s="12">
        <v>150</v>
      </c>
      <c r="Q552" s="1">
        <v>-416.66666666666669</v>
      </c>
      <c r="R552">
        <v>-2</v>
      </c>
      <c r="S552">
        <v>80</v>
      </c>
    </row>
    <row r="553" spans="1:19">
      <c r="A553" t="s">
        <v>30</v>
      </c>
      <c r="B553" s="1">
        <v>-416.66666666666669</v>
      </c>
      <c r="C553">
        <v>44</v>
      </c>
      <c r="D553">
        <v>116</v>
      </c>
      <c r="E553">
        <v>0</v>
      </c>
      <c r="F553">
        <v>0</v>
      </c>
      <c r="G553">
        <v>0</v>
      </c>
      <c r="H553">
        <v>148</v>
      </c>
      <c r="I553">
        <v>44</v>
      </c>
      <c r="J553" s="1">
        <v>-416.66666666666669</v>
      </c>
      <c r="K553">
        <v>77</v>
      </c>
      <c r="L553">
        <v>100</v>
      </c>
      <c r="M553" s="1">
        <v>-416.66666666666669</v>
      </c>
      <c r="N553">
        <v>124</v>
      </c>
      <c r="O553">
        <v>140</v>
      </c>
      <c r="P553" s="12">
        <v>156</v>
      </c>
      <c r="Q553" s="1">
        <v>-416.66666666666669</v>
      </c>
      <c r="R553">
        <v>-2</v>
      </c>
      <c r="S553">
        <v>80</v>
      </c>
    </row>
    <row r="554" spans="1:19">
      <c r="A554" t="s">
        <v>30</v>
      </c>
      <c r="B554" s="1">
        <v>-416.66666666666669</v>
      </c>
      <c r="C554">
        <v>52</v>
      </c>
      <c r="D554">
        <v>112</v>
      </c>
      <c r="E554">
        <v>0</v>
      </c>
      <c r="F554">
        <v>0</v>
      </c>
      <c r="G554">
        <v>0</v>
      </c>
      <c r="H554">
        <v>148</v>
      </c>
      <c r="I554">
        <v>52</v>
      </c>
      <c r="J554" s="1">
        <v>-416.66666666666669</v>
      </c>
      <c r="K554">
        <v>89</v>
      </c>
      <c r="L554">
        <v>100</v>
      </c>
      <c r="M554" s="1">
        <v>-416.66666666666669</v>
      </c>
      <c r="N554">
        <v>130</v>
      </c>
      <c r="O554">
        <v>138</v>
      </c>
      <c r="P554" s="12">
        <v>146</v>
      </c>
      <c r="Q554" s="1">
        <v>-416.66666666666669</v>
      </c>
      <c r="R554">
        <v>-2</v>
      </c>
      <c r="S554">
        <v>80</v>
      </c>
    </row>
    <row r="555" spans="1:19">
      <c r="A555" t="s">
        <v>30</v>
      </c>
      <c r="B555" s="1">
        <v>-416.66666666666669</v>
      </c>
      <c r="C555">
        <v>48</v>
      </c>
      <c r="D555">
        <v>112</v>
      </c>
      <c r="E555">
        <v>0</v>
      </c>
      <c r="F555">
        <v>0</v>
      </c>
      <c r="G555">
        <v>0</v>
      </c>
      <c r="H555">
        <v>148</v>
      </c>
      <c r="I555">
        <v>48</v>
      </c>
      <c r="J555" s="1">
        <v>-416.66666666666669</v>
      </c>
      <c r="K555">
        <v>99</v>
      </c>
      <c r="L555">
        <v>91</v>
      </c>
      <c r="M555" s="1">
        <v>-416.66666666666669</v>
      </c>
      <c r="N555">
        <v>142</v>
      </c>
      <c r="O555">
        <v>143</v>
      </c>
      <c r="P555" s="12">
        <v>144</v>
      </c>
      <c r="Q555" s="1">
        <v>-416.66666666666669</v>
      </c>
      <c r="R555">
        <v>-2</v>
      </c>
      <c r="S555">
        <v>82</v>
      </c>
    </row>
    <row r="556" spans="1:19">
      <c r="A556" t="s">
        <v>30</v>
      </c>
      <c r="B556" s="1">
        <v>-416.66666666666669</v>
      </c>
      <c r="C556">
        <v>52</v>
      </c>
      <c r="D556">
        <v>120</v>
      </c>
      <c r="E556">
        <v>0</v>
      </c>
      <c r="F556">
        <v>0</v>
      </c>
      <c r="G556">
        <v>0</v>
      </c>
      <c r="H556">
        <v>144</v>
      </c>
      <c r="I556">
        <v>40</v>
      </c>
      <c r="J556" s="1">
        <v>-416.66666666666669</v>
      </c>
      <c r="K556">
        <v>100</v>
      </c>
      <c r="L556">
        <v>73</v>
      </c>
      <c r="M556" s="1">
        <v>-416.66666666666669</v>
      </c>
      <c r="N556">
        <v>174</v>
      </c>
      <c r="O556">
        <v>163</v>
      </c>
      <c r="P556" s="12">
        <v>152</v>
      </c>
      <c r="Q556" s="1">
        <v>-416.66666666666669</v>
      </c>
      <c r="R556">
        <v>0</v>
      </c>
      <c r="S556">
        <v>84</v>
      </c>
    </row>
    <row r="557" spans="1:19">
      <c r="A557" t="s">
        <v>30</v>
      </c>
      <c r="B557" s="1">
        <v>-416.66666666666669</v>
      </c>
      <c r="C557">
        <v>52</v>
      </c>
      <c r="D557">
        <v>116</v>
      </c>
      <c r="E557">
        <v>0</v>
      </c>
      <c r="F557">
        <v>0</v>
      </c>
      <c r="G557">
        <v>0</v>
      </c>
      <c r="H557">
        <v>128</v>
      </c>
      <c r="I557">
        <v>36</v>
      </c>
      <c r="J557" s="1">
        <v>-416.66666666666669</v>
      </c>
      <c r="K557">
        <v>100</v>
      </c>
      <c r="L557">
        <v>80</v>
      </c>
      <c r="M557" s="1">
        <v>-416.66666666666669</v>
      </c>
      <c r="N557">
        <v>158</v>
      </c>
      <c r="O557">
        <v>150</v>
      </c>
      <c r="P557" s="12">
        <v>142</v>
      </c>
      <c r="Q557" s="1">
        <v>-416.66666666666669</v>
      </c>
      <c r="R557">
        <v>0</v>
      </c>
      <c r="S557">
        <v>84</v>
      </c>
    </row>
    <row r="558" spans="1:19">
      <c r="A558" t="s">
        <v>30</v>
      </c>
      <c r="B558" s="1">
        <v>-416.66666666666669</v>
      </c>
      <c r="C558">
        <v>52</v>
      </c>
      <c r="D558">
        <v>120</v>
      </c>
      <c r="E558">
        <v>4</v>
      </c>
      <c r="F558">
        <v>0</v>
      </c>
      <c r="G558">
        <v>0</v>
      </c>
      <c r="H558">
        <v>136</v>
      </c>
      <c r="I558">
        <v>36</v>
      </c>
      <c r="J558" s="1">
        <v>-416.66666666666669</v>
      </c>
      <c r="K558">
        <v>53</v>
      </c>
      <c r="L558">
        <v>37</v>
      </c>
      <c r="M558" s="1">
        <v>-416.66666666666669</v>
      </c>
      <c r="N558">
        <v>150</v>
      </c>
      <c r="O558">
        <v>143</v>
      </c>
      <c r="P558" s="12">
        <v>136</v>
      </c>
      <c r="Q558" s="1">
        <v>-416.66666666666669</v>
      </c>
      <c r="R558">
        <v>0</v>
      </c>
      <c r="S558">
        <v>84</v>
      </c>
    </row>
    <row r="559" spans="1:19">
      <c r="A559" t="s">
        <v>30</v>
      </c>
      <c r="B559" s="1">
        <v>-416.66666666666669</v>
      </c>
      <c r="C559">
        <v>52</v>
      </c>
      <c r="D559">
        <v>120</v>
      </c>
      <c r="E559">
        <v>4</v>
      </c>
      <c r="F559">
        <v>4</v>
      </c>
      <c r="G559">
        <v>0</v>
      </c>
      <c r="H559">
        <v>136</v>
      </c>
      <c r="I559">
        <v>36</v>
      </c>
      <c r="J559" s="1">
        <v>-416.66666666666669</v>
      </c>
      <c r="K559">
        <v>48</v>
      </c>
      <c r="L559">
        <v>34</v>
      </c>
      <c r="M559" s="1">
        <v>-416.66666666666669</v>
      </c>
      <c r="N559">
        <v>132</v>
      </c>
      <c r="O559">
        <v>117</v>
      </c>
      <c r="P559" s="12">
        <v>102</v>
      </c>
      <c r="Q559" s="1">
        <v>-416.66666666666669</v>
      </c>
      <c r="R559">
        <v>0</v>
      </c>
      <c r="S559">
        <v>84</v>
      </c>
    </row>
    <row r="560" spans="1:19">
      <c r="A560" t="s">
        <v>30</v>
      </c>
      <c r="B560" s="1">
        <v>-416.66666666666669</v>
      </c>
      <c r="C560">
        <v>48</v>
      </c>
      <c r="D560">
        <v>120</v>
      </c>
      <c r="E560">
        <v>4</v>
      </c>
      <c r="F560">
        <v>4</v>
      </c>
      <c r="G560">
        <v>0</v>
      </c>
      <c r="H560">
        <v>136</v>
      </c>
      <c r="I560">
        <v>36</v>
      </c>
      <c r="J560" s="1">
        <v>-416.66666666666669</v>
      </c>
      <c r="K560">
        <v>37</v>
      </c>
      <c r="L560">
        <v>37</v>
      </c>
      <c r="M560" s="1">
        <v>-416.66666666666669</v>
      </c>
      <c r="N560">
        <v>124</v>
      </c>
      <c r="O560">
        <v>117</v>
      </c>
      <c r="P560" s="12">
        <v>110</v>
      </c>
      <c r="Q560" s="1">
        <v>-416.66666666666669</v>
      </c>
      <c r="R560">
        <v>0</v>
      </c>
      <c r="S560">
        <v>84</v>
      </c>
    </row>
    <row r="561" spans="1:19">
      <c r="A561" t="s">
        <v>30</v>
      </c>
      <c r="B561" s="1">
        <v>-416.66666666666669</v>
      </c>
      <c r="C561">
        <v>56</v>
      </c>
      <c r="D561">
        <v>112</v>
      </c>
      <c r="E561">
        <v>0</v>
      </c>
      <c r="F561">
        <v>4</v>
      </c>
      <c r="G561">
        <v>4</v>
      </c>
      <c r="H561">
        <v>148</v>
      </c>
      <c r="I561">
        <v>44</v>
      </c>
      <c r="J561" s="1">
        <v>-416.66666666666669</v>
      </c>
      <c r="K561">
        <v>28</v>
      </c>
      <c r="L561">
        <v>36</v>
      </c>
      <c r="M561" s="1">
        <v>-416.66666666666669</v>
      </c>
      <c r="N561">
        <v>112</v>
      </c>
      <c r="O561">
        <v>111</v>
      </c>
      <c r="P561" s="12">
        <v>110</v>
      </c>
      <c r="Q561" s="1">
        <v>-416.66666666666669</v>
      </c>
      <c r="R561">
        <v>0</v>
      </c>
      <c r="S561">
        <v>84</v>
      </c>
    </row>
    <row r="562" spans="1:19">
      <c r="A562" t="s">
        <v>30</v>
      </c>
      <c r="B562" s="1">
        <v>-416.66666666666669</v>
      </c>
      <c r="C562">
        <v>64</v>
      </c>
      <c r="D562">
        <v>124</v>
      </c>
      <c r="E562">
        <v>4</v>
      </c>
      <c r="F562">
        <v>8</v>
      </c>
      <c r="G562">
        <v>4</v>
      </c>
      <c r="H562">
        <v>136</v>
      </c>
      <c r="I562">
        <v>40</v>
      </c>
      <c r="J562" s="1">
        <v>-416.66666666666669</v>
      </c>
      <c r="K562">
        <v>50</v>
      </c>
      <c r="L562">
        <v>10</v>
      </c>
      <c r="M562" s="1">
        <v>-416.66666666666669</v>
      </c>
      <c r="N562">
        <v>98</v>
      </c>
      <c r="O562">
        <v>83</v>
      </c>
      <c r="P562" s="12">
        <v>68</v>
      </c>
      <c r="Q562" s="1">
        <v>-416.66666666666669</v>
      </c>
      <c r="R562">
        <v>0</v>
      </c>
      <c r="S562">
        <v>84</v>
      </c>
    </row>
    <row r="563" spans="1:19">
      <c r="A563" t="s">
        <v>30</v>
      </c>
      <c r="B563" s="1">
        <v>-416.66666666666669</v>
      </c>
      <c r="C563">
        <v>64</v>
      </c>
      <c r="D563">
        <v>128</v>
      </c>
      <c r="E563">
        <v>4</v>
      </c>
      <c r="F563">
        <v>12</v>
      </c>
      <c r="G563">
        <v>4</v>
      </c>
      <c r="H563">
        <v>132</v>
      </c>
      <c r="I563">
        <v>32</v>
      </c>
      <c r="J563" s="1">
        <v>-416.66666666666669</v>
      </c>
      <c r="K563">
        <v>41</v>
      </c>
      <c r="L563">
        <v>15</v>
      </c>
      <c r="M563" s="1">
        <v>-416.66666666666669</v>
      </c>
      <c r="N563">
        <v>96</v>
      </c>
      <c r="O563">
        <v>71</v>
      </c>
      <c r="P563" s="12">
        <v>46</v>
      </c>
      <c r="Q563" s="1">
        <v>-416.66666666666669</v>
      </c>
      <c r="R563">
        <v>2</v>
      </c>
      <c r="S563">
        <v>86</v>
      </c>
    </row>
    <row r="564" spans="1:19">
      <c r="A564" t="s">
        <v>30</v>
      </c>
      <c r="B564" s="1">
        <v>-416.66666666666669</v>
      </c>
      <c r="C564">
        <v>56</v>
      </c>
      <c r="D564">
        <v>128</v>
      </c>
      <c r="E564">
        <v>8</v>
      </c>
      <c r="F564">
        <v>16</v>
      </c>
      <c r="G564">
        <v>8</v>
      </c>
      <c r="H564">
        <v>132</v>
      </c>
      <c r="I564">
        <v>36</v>
      </c>
      <c r="J564" s="1">
        <v>-416.66666666666669</v>
      </c>
      <c r="K564">
        <v>23</v>
      </c>
      <c r="L564">
        <v>25</v>
      </c>
      <c r="M564" s="1">
        <v>-416.66666666666669</v>
      </c>
      <c r="N564">
        <v>104</v>
      </c>
      <c r="O564">
        <v>95</v>
      </c>
      <c r="P564" s="12">
        <v>86</v>
      </c>
      <c r="Q564" s="1">
        <v>-416.66666666666669</v>
      </c>
      <c r="R564">
        <v>2</v>
      </c>
      <c r="S564">
        <v>86</v>
      </c>
    </row>
    <row r="565" spans="1:19">
      <c r="A565" t="s">
        <v>30</v>
      </c>
      <c r="B565" s="1">
        <v>-416.66666666666669</v>
      </c>
      <c r="C565">
        <v>52</v>
      </c>
      <c r="D565">
        <v>124</v>
      </c>
      <c r="E565">
        <v>8</v>
      </c>
      <c r="F565">
        <v>16</v>
      </c>
      <c r="G565">
        <v>12</v>
      </c>
      <c r="H565">
        <v>148</v>
      </c>
      <c r="I565">
        <v>40</v>
      </c>
      <c r="J565" s="1">
        <v>-416.66666666666669</v>
      </c>
      <c r="K565">
        <v>12</v>
      </c>
      <c r="L565">
        <v>30</v>
      </c>
      <c r="M565" s="1">
        <v>-416.66666666666669</v>
      </c>
      <c r="N565">
        <v>82</v>
      </c>
      <c r="O565">
        <v>86</v>
      </c>
      <c r="P565" s="12">
        <v>90</v>
      </c>
      <c r="Q565" s="1">
        <v>-416.66666666666669</v>
      </c>
      <c r="R565">
        <v>0</v>
      </c>
      <c r="S565">
        <v>84</v>
      </c>
    </row>
    <row r="566" spans="1:19">
      <c r="A566" t="s">
        <v>30</v>
      </c>
      <c r="B566" s="1">
        <v>-416.66666666666669</v>
      </c>
      <c r="C566">
        <v>52</v>
      </c>
      <c r="D566">
        <v>116</v>
      </c>
      <c r="E566">
        <v>12</v>
      </c>
      <c r="F566">
        <v>24</v>
      </c>
      <c r="G566">
        <v>16</v>
      </c>
      <c r="H566">
        <v>124</v>
      </c>
      <c r="I566">
        <v>40</v>
      </c>
      <c r="J566" s="1">
        <v>-416.66666666666669</v>
      </c>
      <c r="K566">
        <v>28</v>
      </c>
      <c r="L566">
        <v>10</v>
      </c>
      <c r="M566" s="1">
        <v>-416.66666666666669</v>
      </c>
      <c r="N566">
        <v>80</v>
      </c>
      <c r="O566">
        <v>70</v>
      </c>
      <c r="P566" s="12">
        <v>60</v>
      </c>
      <c r="Q566" s="1">
        <v>-416.66666666666669</v>
      </c>
      <c r="R566">
        <v>0</v>
      </c>
      <c r="S566">
        <v>84</v>
      </c>
    </row>
    <row r="567" spans="1:19">
      <c r="A567" t="s">
        <v>30</v>
      </c>
      <c r="B567" s="1">
        <v>-416.66666666666669</v>
      </c>
      <c r="C567">
        <v>64</v>
      </c>
      <c r="D567">
        <v>140</v>
      </c>
      <c r="E567">
        <v>12</v>
      </c>
      <c r="F567">
        <v>32</v>
      </c>
      <c r="G567">
        <v>20</v>
      </c>
      <c r="H567">
        <v>128</v>
      </c>
      <c r="I567">
        <v>36</v>
      </c>
      <c r="J567" s="1">
        <v>-416.66666666666669</v>
      </c>
      <c r="K567">
        <v>34</v>
      </c>
      <c r="L567">
        <v>0</v>
      </c>
      <c r="M567" s="1">
        <v>-416.66666666666669</v>
      </c>
      <c r="N567">
        <v>74</v>
      </c>
      <c r="O567">
        <v>54</v>
      </c>
      <c r="P567" s="12">
        <v>34</v>
      </c>
      <c r="Q567" s="1">
        <v>-416.66666666666669</v>
      </c>
      <c r="R567">
        <v>2</v>
      </c>
      <c r="S567">
        <v>86</v>
      </c>
    </row>
    <row r="568" spans="1:19">
      <c r="A568" t="s">
        <v>30</v>
      </c>
      <c r="B568" s="1">
        <v>-416.66666666666669</v>
      </c>
      <c r="C568">
        <v>64</v>
      </c>
      <c r="D568">
        <v>128</v>
      </c>
      <c r="E568">
        <v>20</v>
      </c>
      <c r="F568">
        <v>40</v>
      </c>
      <c r="G568">
        <v>24</v>
      </c>
      <c r="H568">
        <v>136</v>
      </c>
      <c r="I568">
        <v>40</v>
      </c>
      <c r="J568" s="1">
        <v>-416.66666666666669</v>
      </c>
      <c r="K568">
        <v>10</v>
      </c>
      <c r="L568">
        <v>20</v>
      </c>
      <c r="M568" s="1">
        <v>-416.66666666666669</v>
      </c>
      <c r="N568">
        <v>76</v>
      </c>
      <c r="O568">
        <v>71</v>
      </c>
      <c r="P568">
        <v>66</v>
      </c>
      <c r="Q568" s="1">
        <v>-416.66666666666669</v>
      </c>
      <c r="R568">
        <v>0</v>
      </c>
      <c r="S568">
        <v>84</v>
      </c>
    </row>
    <row r="569" spans="1:19">
      <c r="A569" t="s">
        <v>30</v>
      </c>
      <c r="B569" s="1">
        <v>-416.66666666666669</v>
      </c>
      <c r="C569">
        <v>60</v>
      </c>
      <c r="D569">
        <v>120</v>
      </c>
      <c r="E569">
        <v>28</v>
      </c>
      <c r="F569">
        <v>48</v>
      </c>
      <c r="G569">
        <v>28</v>
      </c>
      <c r="H569">
        <v>140</v>
      </c>
      <c r="I569">
        <v>48</v>
      </c>
      <c r="J569" s="1">
        <v>-416.66666666666669</v>
      </c>
      <c r="K569">
        <v>10</v>
      </c>
      <c r="L569">
        <v>16</v>
      </c>
      <c r="M569" s="1">
        <v>-416.66666666666669</v>
      </c>
      <c r="N569">
        <v>66</v>
      </c>
      <c r="O569">
        <v>64</v>
      </c>
      <c r="P569" s="12">
        <v>62</v>
      </c>
      <c r="Q569" s="1">
        <v>-416.66666666666669</v>
      </c>
      <c r="R569">
        <v>0</v>
      </c>
      <c r="S569">
        <v>84</v>
      </c>
    </row>
    <row r="570" spans="1:19">
      <c r="A570" t="s">
        <v>30</v>
      </c>
      <c r="B570" s="1">
        <v>-416.66666666666669</v>
      </c>
      <c r="C570">
        <v>60</v>
      </c>
      <c r="D570">
        <v>120</v>
      </c>
      <c r="E570">
        <v>32</v>
      </c>
      <c r="F570">
        <v>56</v>
      </c>
      <c r="G570">
        <v>32</v>
      </c>
      <c r="H570">
        <v>140</v>
      </c>
      <c r="I570">
        <v>48</v>
      </c>
      <c r="J570" s="1">
        <v>-416.66666666666669</v>
      </c>
      <c r="K570">
        <v>10</v>
      </c>
      <c r="L570">
        <v>10</v>
      </c>
      <c r="M570" s="1">
        <v>-416.66666666666669</v>
      </c>
      <c r="N570">
        <v>52</v>
      </c>
      <c r="O570">
        <v>49</v>
      </c>
      <c r="P570">
        <v>46</v>
      </c>
      <c r="Q570" s="1">
        <v>-416.66666666666669</v>
      </c>
      <c r="R570">
        <v>0</v>
      </c>
      <c r="S570">
        <v>84</v>
      </c>
    </row>
    <row r="571" spans="1:19">
      <c r="A571" t="s">
        <v>30</v>
      </c>
      <c r="B571" s="1">
        <v>-416.66666666666669</v>
      </c>
      <c r="C571">
        <v>64</v>
      </c>
      <c r="D571">
        <v>124</v>
      </c>
      <c r="E571">
        <v>40</v>
      </c>
      <c r="F571">
        <v>72</v>
      </c>
      <c r="G571">
        <v>40</v>
      </c>
      <c r="H571">
        <v>140</v>
      </c>
      <c r="I571">
        <v>52</v>
      </c>
      <c r="J571" s="1">
        <v>-416.66666666666669</v>
      </c>
      <c r="K571">
        <v>14</v>
      </c>
      <c r="L571">
        <v>10</v>
      </c>
      <c r="M571" s="1">
        <v>-416.66666666666669</v>
      </c>
      <c r="N571">
        <v>28</v>
      </c>
      <c r="O571">
        <v>28</v>
      </c>
      <c r="P571">
        <v>28</v>
      </c>
      <c r="Q571" s="1">
        <v>-416.66666666666669</v>
      </c>
      <c r="R571">
        <v>0</v>
      </c>
      <c r="S571">
        <v>84</v>
      </c>
    </row>
    <row r="572" spans="1:19">
      <c r="A572" t="s">
        <v>30</v>
      </c>
      <c r="B572" s="1">
        <v>-416.66666666666669</v>
      </c>
      <c r="C572">
        <v>64</v>
      </c>
      <c r="D572">
        <v>116</v>
      </c>
      <c r="E572">
        <v>44</v>
      </c>
      <c r="F572">
        <v>92</v>
      </c>
      <c r="G572">
        <v>48</v>
      </c>
      <c r="H572">
        <v>144</v>
      </c>
      <c r="I572">
        <v>52</v>
      </c>
      <c r="J572" s="1">
        <v>-416.66666666666669</v>
      </c>
      <c r="K572">
        <v>10</v>
      </c>
      <c r="L572">
        <v>22</v>
      </c>
      <c r="M572" s="1">
        <v>-416.66666666666669</v>
      </c>
      <c r="N572">
        <v>32</v>
      </c>
      <c r="O572">
        <v>36</v>
      </c>
      <c r="P572">
        <v>40</v>
      </c>
      <c r="Q572" s="1">
        <v>-416.66666666666669</v>
      </c>
      <c r="R572">
        <v>0</v>
      </c>
      <c r="S572">
        <v>84</v>
      </c>
    </row>
    <row r="573" spans="1:19">
      <c r="A573" t="s">
        <v>30</v>
      </c>
      <c r="B573" s="1">
        <v>-416.66666666666669</v>
      </c>
      <c r="C573">
        <v>72</v>
      </c>
      <c r="D573">
        <v>120</v>
      </c>
      <c r="E573">
        <v>52</v>
      </c>
      <c r="F573">
        <v>112</v>
      </c>
      <c r="G573">
        <v>56</v>
      </c>
      <c r="H573">
        <v>144</v>
      </c>
      <c r="I573">
        <v>60</v>
      </c>
      <c r="J573" s="1">
        <v>-416.66666666666669</v>
      </c>
      <c r="K573">
        <v>10</v>
      </c>
      <c r="L573">
        <v>12</v>
      </c>
      <c r="M573" s="1">
        <v>-416.66666666666669</v>
      </c>
      <c r="N573">
        <v>50</v>
      </c>
      <c r="O573">
        <v>50</v>
      </c>
      <c r="P573">
        <v>50</v>
      </c>
      <c r="Q573" s="1">
        <v>-416.66666666666669</v>
      </c>
      <c r="R573">
        <v>0</v>
      </c>
      <c r="S573">
        <v>84</v>
      </c>
    </row>
    <row r="574" spans="1:19">
      <c r="A574" t="s">
        <v>30</v>
      </c>
      <c r="B574" s="1">
        <v>-416.66666666666669</v>
      </c>
      <c r="C574">
        <v>80</v>
      </c>
      <c r="D574">
        <v>120</v>
      </c>
      <c r="E574">
        <v>64</v>
      </c>
      <c r="F574">
        <v>136</v>
      </c>
      <c r="G574">
        <v>68</v>
      </c>
      <c r="H574">
        <v>144</v>
      </c>
      <c r="I574">
        <v>68</v>
      </c>
      <c r="J574" s="1">
        <v>-416.66666666666669</v>
      </c>
      <c r="K574">
        <v>10</v>
      </c>
      <c r="L574">
        <v>10</v>
      </c>
      <c r="M574" s="1">
        <v>-416.66666666666669</v>
      </c>
      <c r="N574">
        <v>40</v>
      </c>
      <c r="O574">
        <v>41</v>
      </c>
      <c r="P574">
        <v>42</v>
      </c>
      <c r="Q574" s="1">
        <v>-416.66666666666669</v>
      </c>
      <c r="R574">
        <v>0</v>
      </c>
      <c r="S574">
        <v>84</v>
      </c>
    </row>
    <row r="575" spans="1:19">
      <c r="A575" t="s">
        <v>30</v>
      </c>
      <c r="B575" s="1">
        <v>-416.66666666666669</v>
      </c>
      <c r="C575">
        <v>92</v>
      </c>
      <c r="D575">
        <v>120</v>
      </c>
      <c r="E575">
        <v>76</v>
      </c>
      <c r="F575">
        <v>164</v>
      </c>
      <c r="G575">
        <v>80</v>
      </c>
      <c r="H575">
        <v>144</v>
      </c>
      <c r="I575">
        <v>76</v>
      </c>
      <c r="J575" s="1">
        <v>-416.66666666666669</v>
      </c>
      <c r="K575">
        <v>10</v>
      </c>
      <c r="L575">
        <v>10</v>
      </c>
      <c r="M575" s="1">
        <v>-416.66666666666669</v>
      </c>
      <c r="N575">
        <v>36</v>
      </c>
      <c r="O575">
        <v>37</v>
      </c>
      <c r="P575" s="12">
        <v>38</v>
      </c>
      <c r="Q575" s="1">
        <v>-416.66666666666669</v>
      </c>
      <c r="R575">
        <v>0</v>
      </c>
      <c r="S575">
        <v>84</v>
      </c>
    </row>
    <row r="576" spans="1:19">
      <c r="A576" t="s">
        <v>30</v>
      </c>
      <c r="B576" s="1">
        <v>-416.66666666666669</v>
      </c>
      <c r="C576">
        <v>108</v>
      </c>
      <c r="D576">
        <v>120</v>
      </c>
      <c r="E576">
        <v>88</v>
      </c>
      <c r="F576">
        <v>196</v>
      </c>
      <c r="G576">
        <v>96</v>
      </c>
      <c r="H576">
        <v>144</v>
      </c>
      <c r="I576">
        <v>84</v>
      </c>
      <c r="J576" s="1">
        <v>-416.66666666666669</v>
      </c>
      <c r="K576">
        <v>10</v>
      </c>
      <c r="L576">
        <v>12</v>
      </c>
      <c r="M576" s="1">
        <v>-416.66666666666669</v>
      </c>
      <c r="N576">
        <v>32</v>
      </c>
      <c r="O576">
        <v>32</v>
      </c>
      <c r="P576">
        <v>32</v>
      </c>
      <c r="Q576" s="1">
        <v>-416.66666666666669</v>
      </c>
      <c r="R576">
        <v>0</v>
      </c>
      <c r="S576">
        <v>84</v>
      </c>
    </row>
    <row r="577" spans="1:19">
      <c r="A577" t="s">
        <v>30</v>
      </c>
      <c r="B577" s="1">
        <v>-416.66666666666669</v>
      </c>
      <c r="C577">
        <v>124</v>
      </c>
      <c r="D577">
        <v>120</v>
      </c>
      <c r="E577">
        <v>104</v>
      </c>
      <c r="F577">
        <v>232</v>
      </c>
      <c r="G577">
        <v>112</v>
      </c>
      <c r="H577">
        <v>144</v>
      </c>
      <c r="I577">
        <v>100</v>
      </c>
      <c r="J577" s="1">
        <v>-416.66666666666669</v>
      </c>
      <c r="K577">
        <v>-10</v>
      </c>
      <c r="L577">
        <v>-10</v>
      </c>
      <c r="M577" s="1">
        <v>-416.66666666666669</v>
      </c>
      <c r="N577">
        <v>20</v>
      </c>
      <c r="O577">
        <v>21</v>
      </c>
      <c r="P577">
        <v>22</v>
      </c>
      <c r="Q577" s="1">
        <v>-416.66666666666669</v>
      </c>
      <c r="R577">
        <v>0</v>
      </c>
      <c r="S577">
        <v>84</v>
      </c>
    </row>
    <row r="578" spans="1:19">
      <c r="A578" t="s">
        <v>30</v>
      </c>
      <c r="B578" s="1">
        <v>-416.66666666666669</v>
      </c>
      <c r="C578">
        <v>132</v>
      </c>
      <c r="D578">
        <v>124</v>
      </c>
      <c r="E578">
        <v>116</v>
      </c>
      <c r="F578">
        <v>260</v>
      </c>
      <c r="G578">
        <v>128</v>
      </c>
      <c r="H578">
        <v>144</v>
      </c>
      <c r="I578">
        <v>100</v>
      </c>
      <c r="J578" s="1">
        <v>-416.66666666666669</v>
      </c>
      <c r="K578">
        <v>-10</v>
      </c>
      <c r="L578">
        <v>-10</v>
      </c>
      <c r="M578" s="1">
        <v>-416.66666666666669</v>
      </c>
      <c r="N578">
        <v>16</v>
      </c>
      <c r="O578">
        <v>13</v>
      </c>
      <c r="P578">
        <v>10</v>
      </c>
      <c r="Q578" s="1">
        <v>-416.66666666666669</v>
      </c>
      <c r="R578">
        <v>0</v>
      </c>
      <c r="S578">
        <v>84</v>
      </c>
    </row>
    <row r="579" spans="1:19">
      <c r="A579" t="s">
        <v>30</v>
      </c>
      <c r="B579" s="1">
        <v>-416.66666666666669</v>
      </c>
      <c r="C579">
        <v>140</v>
      </c>
      <c r="D579">
        <v>124</v>
      </c>
      <c r="E579">
        <v>124</v>
      </c>
      <c r="F579">
        <v>280</v>
      </c>
      <c r="G579">
        <v>136</v>
      </c>
      <c r="H579">
        <v>140</v>
      </c>
      <c r="I579">
        <v>108</v>
      </c>
      <c r="J579" s="1">
        <v>-416.66666666666669</v>
      </c>
      <c r="K579">
        <v>-10</v>
      </c>
      <c r="L579">
        <v>-10</v>
      </c>
      <c r="M579" s="1">
        <v>-416.66666666666669</v>
      </c>
      <c r="N579">
        <v>12</v>
      </c>
      <c r="O579">
        <v>11</v>
      </c>
      <c r="P579" s="12">
        <v>10</v>
      </c>
      <c r="Q579" s="1">
        <v>-416.66666666666669</v>
      </c>
      <c r="R579">
        <v>0</v>
      </c>
      <c r="S579">
        <v>84</v>
      </c>
    </row>
    <row r="580" spans="1:19">
      <c r="A580" t="s">
        <v>30</v>
      </c>
      <c r="B580" s="1">
        <v>-416.66666666666669</v>
      </c>
      <c r="C580">
        <v>140</v>
      </c>
      <c r="D580">
        <v>124</v>
      </c>
      <c r="E580">
        <v>128</v>
      </c>
      <c r="F580">
        <v>292</v>
      </c>
      <c r="G580">
        <v>144</v>
      </c>
      <c r="H580">
        <v>140</v>
      </c>
      <c r="I580">
        <v>108</v>
      </c>
      <c r="J580" s="1">
        <v>-416.66666666666669</v>
      </c>
      <c r="K580">
        <v>-10</v>
      </c>
      <c r="L580">
        <v>-10</v>
      </c>
      <c r="M580" s="1">
        <v>-416.66666666666669</v>
      </c>
      <c r="N580">
        <v>6</v>
      </c>
      <c r="O580">
        <v>6</v>
      </c>
      <c r="P580">
        <v>6</v>
      </c>
      <c r="Q580" s="1">
        <v>-416.66666666666669</v>
      </c>
      <c r="R580">
        <v>0</v>
      </c>
      <c r="S580">
        <v>84</v>
      </c>
    </row>
    <row r="581" spans="1:19">
      <c r="A581" t="s">
        <v>30</v>
      </c>
      <c r="B581" s="1">
        <v>-416.66666666666669</v>
      </c>
      <c r="C581">
        <v>144</v>
      </c>
      <c r="D581">
        <v>124</v>
      </c>
      <c r="E581">
        <v>128</v>
      </c>
      <c r="F581">
        <v>296</v>
      </c>
      <c r="G581">
        <v>144</v>
      </c>
      <c r="H581">
        <v>140</v>
      </c>
      <c r="I581">
        <v>112</v>
      </c>
      <c r="J581" s="1">
        <v>-416.66666666666669</v>
      </c>
      <c r="K581">
        <v>-10</v>
      </c>
      <c r="L581">
        <v>-10</v>
      </c>
      <c r="M581" s="1">
        <v>-416.66666666666669</v>
      </c>
      <c r="N581">
        <v>2</v>
      </c>
      <c r="O581">
        <v>2</v>
      </c>
      <c r="P581">
        <v>2</v>
      </c>
      <c r="Q581" s="1">
        <v>-416.66666666666669</v>
      </c>
      <c r="R581">
        <v>0</v>
      </c>
      <c r="S581">
        <v>84</v>
      </c>
    </row>
    <row r="582" spans="1:19">
      <c r="A582" t="s">
        <v>30</v>
      </c>
      <c r="B582" s="1">
        <v>-416.66666666666669</v>
      </c>
      <c r="C582">
        <v>140</v>
      </c>
      <c r="D582">
        <v>124</v>
      </c>
      <c r="E582">
        <v>128</v>
      </c>
      <c r="F582">
        <v>292</v>
      </c>
      <c r="G582">
        <v>144</v>
      </c>
      <c r="H582">
        <v>140</v>
      </c>
      <c r="I582">
        <v>112</v>
      </c>
      <c r="J582" s="1">
        <v>-416.66666666666669</v>
      </c>
      <c r="K582">
        <v>-10</v>
      </c>
      <c r="L582">
        <v>-10</v>
      </c>
      <c r="M582" s="1">
        <v>-416.66666666666669</v>
      </c>
      <c r="N582">
        <v>-2</v>
      </c>
      <c r="O582">
        <v>-3</v>
      </c>
      <c r="P582">
        <v>-4</v>
      </c>
      <c r="Q582" s="1">
        <v>-416.66666666666669</v>
      </c>
      <c r="R582">
        <v>0</v>
      </c>
      <c r="S582">
        <v>84</v>
      </c>
    </row>
    <row r="583" spans="1:19">
      <c r="A583" t="s">
        <v>30</v>
      </c>
      <c r="B583" s="1">
        <v>-416.66666666666669</v>
      </c>
      <c r="C583">
        <v>140</v>
      </c>
      <c r="D583">
        <v>124</v>
      </c>
      <c r="E583">
        <v>128</v>
      </c>
      <c r="F583">
        <v>284</v>
      </c>
      <c r="G583">
        <v>140</v>
      </c>
      <c r="H583">
        <v>144</v>
      </c>
      <c r="I583">
        <v>108</v>
      </c>
      <c r="J583" s="1">
        <v>-416.66666666666669</v>
      </c>
      <c r="K583">
        <v>-10</v>
      </c>
      <c r="L583">
        <v>-10</v>
      </c>
      <c r="M583" s="1">
        <v>-416.66666666666669</v>
      </c>
      <c r="N583">
        <v>-6</v>
      </c>
      <c r="O583">
        <v>-6</v>
      </c>
      <c r="P583">
        <v>-6</v>
      </c>
      <c r="Q583" s="1">
        <v>-416.66666666666669</v>
      </c>
      <c r="R583">
        <v>0</v>
      </c>
      <c r="S583">
        <v>84</v>
      </c>
    </row>
    <row r="584" spans="1:19">
      <c r="A584" t="s">
        <v>30</v>
      </c>
      <c r="B584" s="1">
        <v>-416.66666666666669</v>
      </c>
      <c r="C584">
        <v>140</v>
      </c>
      <c r="D584">
        <v>124</v>
      </c>
      <c r="E584">
        <v>120</v>
      </c>
      <c r="F584">
        <v>276</v>
      </c>
      <c r="G584">
        <v>132</v>
      </c>
      <c r="H584">
        <v>144</v>
      </c>
      <c r="I584">
        <v>104</v>
      </c>
      <c r="J584" s="1">
        <v>-416.66666666666669</v>
      </c>
      <c r="K584">
        <v>-10</v>
      </c>
      <c r="L584">
        <v>-10</v>
      </c>
      <c r="M584" s="1">
        <v>-416.66666666666669</v>
      </c>
      <c r="N584">
        <v>-8</v>
      </c>
      <c r="O584">
        <v>-8</v>
      </c>
      <c r="P584">
        <v>-8</v>
      </c>
      <c r="Q584" s="1">
        <v>-416.66666666666669</v>
      </c>
      <c r="R584">
        <v>0</v>
      </c>
      <c r="S584">
        <v>84</v>
      </c>
    </row>
    <row r="585" spans="1:19">
      <c r="A585" t="s">
        <v>30</v>
      </c>
      <c r="B585" s="1">
        <v>-416.66666666666669</v>
      </c>
      <c r="C585">
        <v>132</v>
      </c>
      <c r="D585">
        <v>124</v>
      </c>
      <c r="E585">
        <v>116</v>
      </c>
      <c r="F585">
        <v>268</v>
      </c>
      <c r="G585">
        <v>128</v>
      </c>
      <c r="H585">
        <v>140</v>
      </c>
      <c r="I585">
        <v>100</v>
      </c>
      <c r="J585" s="1">
        <v>-416.66666666666669</v>
      </c>
      <c r="K585">
        <v>-10</v>
      </c>
      <c r="L585">
        <v>-10</v>
      </c>
      <c r="M585" s="1">
        <v>-416.66666666666669</v>
      </c>
      <c r="N585">
        <v>-10</v>
      </c>
      <c r="O585">
        <v>-9</v>
      </c>
      <c r="P585">
        <v>-8</v>
      </c>
      <c r="Q585" s="1">
        <v>-416.66666666666669</v>
      </c>
      <c r="R585">
        <v>0</v>
      </c>
      <c r="S585">
        <v>84</v>
      </c>
    </row>
    <row r="586" spans="1:19">
      <c r="A586" t="s">
        <v>30</v>
      </c>
      <c r="B586" s="1">
        <v>-416.66666666666669</v>
      </c>
      <c r="C586">
        <v>128</v>
      </c>
      <c r="D586">
        <v>124</v>
      </c>
      <c r="E586">
        <v>108</v>
      </c>
      <c r="F586">
        <v>256</v>
      </c>
      <c r="G586">
        <v>124</v>
      </c>
      <c r="H586">
        <v>140</v>
      </c>
      <c r="I586">
        <v>100</v>
      </c>
      <c r="J586" s="1">
        <v>-416.66666666666669</v>
      </c>
      <c r="K586">
        <v>-10</v>
      </c>
      <c r="L586">
        <v>-10</v>
      </c>
      <c r="M586" s="1">
        <v>-416.66666666666669</v>
      </c>
      <c r="N586">
        <v>-10</v>
      </c>
      <c r="O586">
        <v>-10</v>
      </c>
      <c r="P586">
        <v>-10</v>
      </c>
      <c r="Q586" s="1">
        <v>-416.66666666666669</v>
      </c>
      <c r="R586">
        <v>0</v>
      </c>
      <c r="S586">
        <v>84</v>
      </c>
    </row>
    <row r="587" spans="1:19">
      <c r="A587" t="s">
        <v>30</v>
      </c>
      <c r="B587" s="1">
        <v>-416.66666666666669</v>
      </c>
      <c r="C587">
        <v>124</v>
      </c>
      <c r="D587">
        <v>124</v>
      </c>
      <c r="E587">
        <v>104</v>
      </c>
      <c r="F587">
        <v>244</v>
      </c>
      <c r="G587">
        <v>116</v>
      </c>
      <c r="H587">
        <v>140</v>
      </c>
      <c r="I587">
        <v>96</v>
      </c>
      <c r="J587" s="1">
        <v>-416.66666666666669</v>
      </c>
      <c r="K587">
        <v>-10</v>
      </c>
      <c r="L587">
        <v>-10</v>
      </c>
      <c r="M587" s="1">
        <v>-416.66666666666669</v>
      </c>
      <c r="N587">
        <v>-12</v>
      </c>
      <c r="O587">
        <v>-12</v>
      </c>
      <c r="P587">
        <v>-12</v>
      </c>
      <c r="Q587" s="1">
        <v>-416.66666666666669</v>
      </c>
      <c r="R587">
        <v>0</v>
      </c>
      <c r="S587">
        <v>84</v>
      </c>
    </row>
    <row r="588" spans="1:19">
      <c r="A588" t="s">
        <v>30</v>
      </c>
      <c r="B588" s="1">
        <v>-416.66666666666669</v>
      </c>
      <c r="C588">
        <v>112</v>
      </c>
      <c r="D588">
        <v>128</v>
      </c>
      <c r="E588">
        <v>96</v>
      </c>
      <c r="F588">
        <v>228</v>
      </c>
      <c r="G588">
        <v>108</v>
      </c>
      <c r="H588">
        <v>140</v>
      </c>
      <c r="I588">
        <v>92</v>
      </c>
      <c r="J588" s="1">
        <v>-416.66666666666669</v>
      </c>
      <c r="K588">
        <v>-10</v>
      </c>
      <c r="L588">
        <v>-10</v>
      </c>
      <c r="M588" s="1">
        <v>-416.66666666666669</v>
      </c>
      <c r="N588">
        <v>-12</v>
      </c>
      <c r="O588">
        <v>-12</v>
      </c>
      <c r="P588">
        <v>-12</v>
      </c>
      <c r="Q588" s="1">
        <v>-416.66666666666669</v>
      </c>
      <c r="R588">
        <v>0</v>
      </c>
      <c r="S588">
        <v>84</v>
      </c>
    </row>
    <row r="589" spans="1:19">
      <c r="A589" t="s">
        <v>30</v>
      </c>
      <c r="B589" s="1">
        <v>-416.66666666666669</v>
      </c>
      <c r="C589">
        <v>112</v>
      </c>
      <c r="D589">
        <v>128</v>
      </c>
      <c r="E589">
        <v>92</v>
      </c>
      <c r="F589">
        <v>216</v>
      </c>
      <c r="G589">
        <v>104</v>
      </c>
      <c r="H589">
        <v>140</v>
      </c>
      <c r="I589">
        <v>88</v>
      </c>
      <c r="J589" s="1">
        <v>-416.66666666666669</v>
      </c>
      <c r="K589">
        <v>-10</v>
      </c>
      <c r="L589">
        <v>-10</v>
      </c>
      <c r="M589" s="1">
        <v>-416.66666666666669</v>
      </c>
      <c r="N589">
        <v>-14</v>
      </c>
      <c r="O589">
        <v>-13</v>
      </c>
      <c r="P589">
        <v>-12</v>
      </c>
      <c r="Q589" s="1">
        <v>-416.66666666666669</v>
      </c>
      <c r="R589">
        <v>0</v>
      </c>
      <c r="S589">
        <v>84</v>
      </c>
    </row>
    <row r="590" spans="1:19">
      <c r="A590" t="s">
        <v>30</v>
      </c>
      <c r="B590" s="1">
        <v>-416.66666666666669</v>
      </c>
      <c r="C590">
        <v>104</v>
      </c>
      <c r="D590">
        <v>128</v>
      </c>
      <c r="E590">
        <v>84</v>
      </c>
      <c r="F590">
        <v>200</v>
      </c>
      <c r="G590">
        <v>96</v>
      </c>
      <c r="H590">
        <v>140</v>
      </c>
      <c r="I590">
        <v>84</v>
      </c>
      <c r="J590" s="1">
        <v>-416.66666666666669</v>
      </c>
      <c r="K590">
        <v>-10</v>
      </c>
      <c r="L590">
        <v>-10</v>
      </c>
      <c r="M590" s="1">
        <v>-416.66666666666669</v>
      </c>
      <c r="N590">
        <v>-12</v>
      </c>
      <c r="O590">
        <v>-13</v>
      </c>
      <c r="P590">
        <v>-14</v>
      </c>
      <c r="Q590" s="1">
        <v>-416.66666666666669</v>
      </c>
      <c r="R590">
        <v>0</v>
      </c>
      <c r="S590">
        <v>84</v>
      </c>
    </row>
    <row r="591" spans="1:19">
      <c r="A591" t="s">
        <v>30</v>
      </c>
      <c r="B591" s="1">
        <v>-416.66666666666669</v>
      </c>
      <c r="C591">
        <v>96</v>
      </c>
      <c r="D591">
        <v>124</v>
      </c>
      <c r="E591">
        <v>80</v>
      </c>
      <c r="F591">
        <v>188</v>
      </c>
      <c r="G591">
        <v>88</v>
      </c>
      <c r="H591">
        <v>140</v>
      </c>
      <c r="I591">
        <v>76</v>
      </c>
      <c r="J591" s="1">
        <v>-416.66666666666669</v>
      </c>
      <c r="K591">
        <v>10</v>
      </c>
      <c r="L591">
        <v>10</v>
      </c>
      <c r="M591" s="1">
        <v>-416.66666666666669</v>
      </c>
      <c r="N591">
        <v>-14</v>
      </c>
      <c r="O591">
        <v>-14</v>
      </c>
      <c r="P591">
        <v>-14</v>
      </c>
      <c r="Q591" s="1">
        <v>-416.66666666666669</v>
      </c>
      <c r="R591">
        <v>0</v>
      </c>
      <c r="S591">
        <v>84</v>
      </c>
    </row>
    <row r="592" spans="1:19">
      <c r="A592" t="s">
        <v>30</v>
      </c>
      <c r="B592" s="1">
        <v>-416.66666666666669</v>
      </c>
      <c r="C592">
        <v>92</v>
      </c>
      <c r="D592">
        <v>124</v>
      </c>
      <c r="E592">
        <v>76</v>
      </c>
      <c r="F592">
        <v>176</v>
      </c>
      <c r="G592">
        <v>84</v>
      </c>
      <c r="H592">
        <v>140</v>
      </c>
      <c r="I592">
        <v>72</v>
      </c>
      <c r="J592" s="1">
        <v>-416.66666666666669</v>
      </c>
      <c r="K592">
        <v>10</v>
      </c>
      <c r="L592">
        <v>10</v>
      </c>
      <c r="M592" s="1">
        <v>-416.66666666666669</v>
      </c>
      <c r="N592">
        <v>-8</v>
      </c>
      <c r="O592">
        <v>-8</v>
      </c>
      <c r="P592">
        <v>-8</v>
      </c>
      <c r="Q592" s="1">
        <v>-416.66666666666669</v>
      </c>
      <c r="R592">
        <v>0</v>
      </c>
      <c r="S592">
        <v>84</v>
      </c>
    </row>
    <row r="593" spans="1:19">
      <c r="A593" t="s">
        <v>30</v>
      </c>
      <c r="B593" s="1">
        <v>-416.66666666666669</v>
      </c>
      <c r="C593">
        <v>88</v>
      </c>
      <c r="D593">
        <v>128</v>
      </c>
      <c r="E593">
        <v>72</v>
      </c>
      <c r="F593">
        <v>172</v>
      </c>
      <c r="G593">
        <v>84</v>
      </c>
      <c r="H593">
        <v>140</v>
      </c>
      <c r="I593">
        <v>76</v>
      </c>
      <c r="J593" s="1">
        <v>-416.66666666666669</v>
      </c>
      <c r="K593">
        <v>11</v>
      </c>
      <c r="L593">
        <v>9</v>
      </c>
      <c r="M593" s="1">
        <v>-416.66666666666669</v>
      </c>
      <c r="N593">
        <v>0</v>
      </c>
      <c r="O593">
        <v>-2</v>
      </c>
      <c r="P593">
        <v>-4</v>
      </c>
      <c r="Q593" s="1">
        <v>-416.66666666666669</v>
      </c>
      <c r="R593">
        <v>0</v>
      </c>
      <c r="S593">
        <v>84</v>
      </c>
    </row>
    <row r="594" spans="1:19">
      <c r="A594" t="s">
        <v>30</v>
      </c>
      <c r="B594" s="1">
        <v>-416.66666666666669</v>
      </c>
      <c r="C594">
        <v>84</v>
      </c>
      <c r="D594">
        <v>128</v>
      </c>
      <c r="E594">
        <v>72</v>
      </c>
      <c r="F594">
        <v>172</v>
      </c>
      <c r="G594">
        <v>84</v>
      </c>
      <c r="H594">
        <v>136</v>
      </c>
      <c r="I594">
        <v>76</v>
      </c>
      <c r="J594" s="1">
        <v>-416.66666666666669</v>
      </c>
      <c r="K594">
        <v>11</v>
      </c>
      <c r="L594">
        <v>9</v>
      </c>
      <c r="M594" s="1">
        <v>-416.66666666666669</v>
      </c>
      <c r="N594">
        <v>6</v>
      </c>
      <c r="O594">
        <v>3</v>
      </c>
      <c r="P594">
        <v>0</v>
      </c>
      <c r="Q594" s="1">
        <v>-416.66666666666669</v>
      </c>
      <c r="R594">
        <v>0</v>
      </c>
      <c r="S594">
        <v>84</v>
      </c>
    </row>
    <row r="595" spans="1:19">
      <c r="A595" t="s">
        <v>30</v>
      </c>
      <c r="B595" s="1">
        <v>-416.66666666666669</v>
      </c>
      <c r="C595">
        <v>88</v>
      </c>
      <c r="D595">
        <v>128</v>
      </c>
      <c r="E595">
        <v>72</v>
      </c>
      <c r="F595">
        <v>176</v>
      </c>
      <c r="G595">
        <v>84</v>
      </c>
      <c r="H595">
        <v>136</v>
      </c>
      <c r="I595">
        <v>72</v>
      </c>
      <c r="J595" s="1">
        <v>-416.66666666666669</v>
      </c>
      <c r="K595">
        <v>10</v>
      </c>
      <c r="L595">
        <v>10</v>
      </c>
      <c r="M595" s="1">
        <v>-416.66666666666669</v>
      </c>
      <c r="N595">
        <v>0</v>
      </c>
      <c r="O595">
        <v>1</v>
      </c>
      <c r="P595">
        <v>2</v>
      </c>
      <c r="Q595" s="1">
        <v>-416.66666666666669</v>
      </c>
      <c r="R595">
        <v>0</v>
      </c>
      <c r="S595">
        <v>84</v>
      </c>
    </row>
    <row r="596" spans="1:19">
      <c r="A596" t="s">
        <v>30</v>
      </c>
      <c r="B596" s="1">
        <v>-416.66666666666669</v>
      </c>
      <c r="C596">
        <v>92</v>
      </c>
      <c r="D596">
        <v>128</v>
      </c>
      <c r="E596">
        <v>76</v>
      </c>
      <c r="F596">
        <v>180</v>
      </c>
      <c r="G596">
        <v>84</v>
      </c>
      <c r="H596">
        <v>136</v>
      </c>
      <c r="I596">
        <v>76</v>
      </c>
      <c r="J596" s="1">
        <v>-416.66666666666669</v>
      </c>
      <c r="K596">
        <v>10</v>
      </c>
      <c r="L596">
        <v>10</v>
      </c>
      <c r="M596" s="1">
        <v>-416.66666666666669</v>
      </c>
      <c r="N596">
        <v>4</v>
      </c>
      <c r="O596">
        <v>4</v>
      </c>
      <c r="P596" s="12">
        <v>4</v>
      </c>
      <c r="Q596" s="1">
        <v>-416.66666666666669</v>
      </c>
      <c r="R596">
        <v>0</v>
      </c>
      <c r="S596">
        <v>84</v>
      </c>
    </row>
    <row r="597" spans="1:19">
      <c r="A597" t="s">
        <v>30</v>
      </c>
      <c r="B597" s="1">
        <v>-416.66666666666669</v>
      </c>
      <c r="C597">
        <v>92</v>
      </c>
      <c r="D597">
        <v>128</v>
      </c>
      <c r="E597">
        <v>76</v>
      </c>
      <c r="F597">
        <v>184</v>
      </c>
      <c r="G597">
        <v>88</v>
      </c>
      <c r="H597">
        <v>136</v>
      </c>
      <c r="I597">
        <v>76</v>
      </c>
      <c r="J597" s="1">
        <v>-416.66666666666669</v>
      </c>
      <c r="K597">
        <v>10</v>
      </c>
      <c r="L597">
        <v>10</v>
      </c>
      <c r="M597" s="1">
        <v>-416.66666666666669</v>
      </c>
      <c r="N597">
        <v>6</v>
      </c>
      <c r="O597">
        <v>6</v>
      </c>
      <c r="P597">
        <v>6</v>
      </c>
      <c r="Q597" s="1">
        <v>-416.66666666666669</v>
      </c>
      <c r="R597">
        <v>0</v>
      </c>
      <c r="S597">
        <v>84</v>
      </c>
    </row>
    <row r="598" spans="1:19">
      <c r="A598" t="s">
        <v>30</v>
      </c>
      <c r="B598" s="1">
        <v>-416.66666666666669</v>
      </c>
      <c r="C598">
        <v>96</v>
      </c>
      <c r="D598">
        <v>128</v>
      </c>
      <c r="E598">
        <v>80</v>
      </c>
      <c r="F598">
        <v>196</v>
      </c>
      <c r="G598">
        <v>92</v>
      </c>
      <c r="H598">
        <v>136</v>
      </c>
      <c r="I598">
        <v>76</v>
      </c>
      <c r="J598" s="1">
        <v>-416.66666666666669</v>
      </c>
      <c r="K598">
        <v>10</v>
      </c>
      <c r="L598">
        <v>10</v>
      </c>
      <c r="M598" s="1">
        <v>-416.66666666666669</v>
      </c>
      <c r="N598">
        <v>8</v>
      </c>
      <c r="O598">
        <v>8</v>
      </c>
      <c r="P598" s="12">
        <v>8</v>
      </c>
      <c r="Q598" s="1">
        <v>-416.66666666666669</v>
      </c>
      <c r="R598">
        <v>0</v>
      </c>
      <c r="S598">
        <v>84</v>
      </c>
    </row>
    <row r="599" spans="1:19">
      <c r="A599" t="s">
        <v>30</v>
      </c>
      <c r="B599" s="1">
        <v>-416.66666666666669</v>
      </c>
      <c r="C599">
        <v>100</v>
      </c>
      <c r="D599">
        <v>128</v>
      </c>
      <c r="E599">
        <v>84</v>
      </c>
      <c r="F599">
        <v>204</v>
      </c>
      <c r="G599">
        <v>96</v>
      </c>
      <c r="H599">
        <v>136</v>
      </c>
      <c r="I599">
        <v>80</v>
      </c>
      <c r="J599" s="1">
        <v>-416.66666666666669</v>
      </c>
      <c r="K599">
        <v>10</v>
      </c>
      <c r="L599">
        <v>10</v>
      </c>
      <c r="M599" s="1">
        <v>-416.66666666666669</v>
      </c>
      <c r="N599">
        <v>10</v>
      </c>
      <c r="O599">
        <v>10</v>
      </c>
      <c r="P599">
        <v>10</v>
      </c>
      <c r="Q599" s="1">
        <v>-416.66666666666669</v>
      </c>
      <c r="R599">
        <v>0</v>
      </c>
      <c r="S599">
        <v>84</v>
      </c>
    </row>
    <row r="600" spans="1:19">
      <c r="A600" t="s">
        <v>30</v>
      </c>
      <c r="B600" s="1">
        <v>-416.66666666666669</v>
      </c>
      <c r="C600">
        <v>104</v>
      </c>
      <c r="D600">
        <v>128</v>
      </c>
      <c r="E600">
        <v>88</v>
      </c>
      <c r="F600">
        <v>216</v>
      </c>
      <c r="G600">
        <v>100</v>
      </c>
      <c r="H600">
        <v>136</v>
      </c>
      <c r="I600">
        <v>84</v>
      </c>
      <c r="J600" s="1">
        <v>-416.66666666666669</v>
      </c>
      <c r="K600">
        <v>10</v>
      </c>
      <c r="L600">
        <v>10</v>
      </c>
      <c r="M600" s="1">
        <v>-416.66666666666669</v>
      </c>
      <c r="N600">
        <v>10</v>
      </c>
      <c r="O600">
        <v>10</v>
      </c>
      <c r="P600">
        <v>10</v>
      </c>
      <c r="Q600" s="1">
        <v>-416.66666666666669</v>
      </c>
      <c r="R600">
        <v>0</v>
      </c>
      <c r="S600">
        <v>84</v>
      </c>
    </row>
    <row r="601" spans="1:19">
      <c r="A601" t="s">
        <v>30</v>
      </c>
      <c r="B601" s="1">
        <v>-416.66666666666669</v>
      </c>
      <c r="C601">
        <v>108</v>
      </c>
      <c r="D601">
        <v>128</v>
      </c>
      <c r="E601">
        <v>92</v>
      </c>
      <c r="F601">
        <v>232</v>
      </c>
      <c r="G601">
        <v>108</v>
      </c>
      <c r="H601">
        <v>136</v>
      </c>
      <c r="I601">
        <v>88</v>
      </c>
      <c r="J601" s="1">
        <v>-416.66666666666669</v>
      </c>
      <c r="K601">
        <v>10</v>
      </c>
      <c r="L601">
        <v>10</v>
      </c>
      <c r="M601" s="1">
        <v>-416.66666666666669</v>
      </c>
      <c r="N601">
        <v>10</v>
      </c>
      <c r="O601">
        <v>10</v>
      </c>
      <c r="P601">
        <v>10</v>
      </c>
      <c r="Q601" s="1">
        <v>-416.66666666666669</v>
      </c>
      <c r="R601">
        <v>0</v>
      </c>
      <c r="S601">
        <v>84</v>
      </c>
    </row>
    <row r="602" spans="1:19">
      <c r="A602" t="s">
        <v>30</v>
      </c>
      <c r="B602" s="1">
        <v>-416.66666666666669</v>
      </c>
      <c r="C602">
        <v>116</v>
      </c>
      <c r="D602">
        <v>128</v>
      </c>
      <c r="E602">
        <v>100</v>
      </c>
      <c r="F602">
        <v>248</v>
      </c>
      <c r="G602">
        <v>116</v>
      </c>
      <c r="H602">
        <v>136</v>
      </c>
      <c r="I602">
        <v>88</v>
      </c>
      <c r="J602" s="1">
        <v>-416.66666666666669</v>
      </c>
      <c r="K602">
        <v>10</v>
      </c>
      <c r="L602">
        <v>-20</v>
      </c>
      <c r="M602" s="1">
        <v>-416.66666666666669</v>
      </c>
      <c r="N602">
        <v>14</v>
      </c>
      <c r="O602">
        <v>11</v>
      </c>
      <c r="P602">
        <v>8</v>
      </c>
      <c r="Q602" s="1">
        <v>-416.66666666666669</v>
      </c>
      <c r="R602">
        <v>84</v>
      </c>
      <c r="S602">
        <v>84</v>
      </c>
    </row>
    <row r="603" spans="1:19">
      <c r="A603" t="s">
        <v>30</v>
      </c>
      <c r="B603" s="1">
        <v>-416.66666666666669</v>
      </c>
      <c r="C603">
        <v>128</v>
      </c>
      <c r="D603">
        <v>112</v>
      </c>
      <c r="E603">
        <v>112</v>
      </c>
      <c r="F603">
        <v>236</v>
      </c>
      <c r="G603">
        <v>112</v>
      </c>
      <c r="H603">
        <v>152</v>
      </c>
      <c r="I603">
        <v>96</v>
      </c>
      <c r="J603" s="1">
        <v>-416.66666666666669</v>
      </c>
      <c r="K603">
        <v>4</v>
      </c>
      <c r="L603">
        <v>-36</v>
      </c>
      <c r="M603" s="1">
        <v>-416.66666666666669</v>
      </c>
      <c r="N603">
        <v>12</v>
      </c>
      <c r="O603">
        <v>4</v>
      </c>
      <c r="P603">
        <v>-4</v>
      </c>
      <c r="Q603" s="1">
        <v>-416.66666666666669</v>
      </c>
      <c r="R603">
        <v>82</v>
      </c>
      <c r="S603">
        <v>84</v>
      </c>
    </row>
    <row r="604" spans="1:19">
      <c r="A604" t="s">
        <v>30</v>
      </c>
      <c r="B604" s="1">
        <v>-416.66666666666669</v>
      </c>
      <c r="C604">
        <v>124</v>
      </c>
      <c r="D604">
        <v>92</v>
      </c>
      <c r="E604">
        <v>128</v>
      </c>
      <c r="F604">
        <v>192</v>
      </c>
      <c r="G604">
        <v>100</v>
      </c>
      <c r="H604">
        <v>180</v>
      </c>
      <c r="I604">
        <v>100</v>
      </c>
      <c r="J604" s="1">
        <v>-416.66666666666669</v>
      </c>
      <c r="K604">
        <v>4</v>
      </c>
      <c r="L604">
        <v>-35</v>
      </c>
      <c r="M604" s="1">
        <v>-416.66666666666669</v>
      </c>
      <c r="N604">
        <v>10</v>
      </c>
      <c r="O604">
        <v>-1</v>
      </c>
      <c r="P604" s="12">
        <v>-12</v>
      </c>
      <c r="Q604" s="1">
        <v>-416.66666666666669</v>
      </c>
      <c r="R604">
        <v>78</v>
      </c>
      <c r="S604">
        <v>80</v>
      </c>
    </row>
    <row r="605" spans="1:19">
      <c r="A605" t="s">
        <v>30</v>
      </c>
      <c r="B605" s="1">
        <v>-416.66666666666669</v>
      </c>
      <c r="C605">
        <v>116</v>
      </c>
      <c r="D605">
        <v>84</v>
      </c>
      <c r="E605">
        <v>156</v>
      </c>
      <c r="F605">
        <v>164</v>
      </c>
      <c r="G605">
        <v>88</v>
      </c>
      <c r="H605">
        <v>188</v>
      </c>
      <c r="I605">
        <v>100</v>
      </c>
      <c r="J605" s="1">
        <v>-416.66666666666669</v>
      </c>
      <c r="K605">
        <v>6</v>
      </c>
      <c r="L605">
        <v>-24</v>
      </c>
      <c r="M605" s="1">
        <v>-416.66666666666669</v>
      </c>
      <c r="N605">
        <v>10</v>
      </c>
      <c r="O605">
        <v>-6</v>
      </c>
      <c r="P605">
        <v>-22</v>
      </c>
      <c r="Q605" s="1">
        <v>-416.66666666666669</v>
      </c>
      <c r="R605">
        <v>74</v>
      </c>
      <c r="S605">
        <v>76</v>
      </c>
    </row>
    <row r="606" spans="1:19">
      <c r="A606" t="s">
        <v>30</v>
      </c>
      <c r="B606" s="1">
        <v>-416.66666666666669</v>
      </c>
      <c r="C606">
        <v>132</v>
      </c>
      <c r="D606">
        <v>68</v>
      </c>
      <c r="E606">
        <v>208</v>
      </c>
      <c r="F606">
        <v>140</v>
      </c>
      <c r="G606">
        <v>80</v>
      </c>
      <c r="H606">
        <v>164</v>
      </c>
      <c r="I606">
        <v>120</v>
      </c>
      <c r="J606" s="1">
        <v>-416.66666666666669</v>
      </c>
      <c r="K606">
        <v>17</v>
      </c>
      <c r="L606">
        <v>-13</v>
      </c>
      <c r="M606" s="1">
        <v>-416.66666666666669</v>
      </c>
      <c r="N606">
        <v>10</v>
      </c>
      <c r="O606">
        <v>-6</v>
      </c>
      <c r="P606">
        <v>-22</v>
      </c>
      <c r="Q606" s="1">
        <v>-416.66666666666669</v>
      </c>
      <c r="R606">
        <v>70</v>
      </c>
      <c r="S606">
        <v>72</v>
      </c>
    </row>
    <row r="607" spans="1:19">
      <c r="A607" t="s">
        <v>30</v>
      </c>
      <c r="B607" s="1">
        <v>-416.66666666666669</v>
      </c>
      <c r="C607">
        <v>148</v>
      </c>
      <c r="D607">
        <v>56</v>
      </c>
      <c r="E607">
        <v>236</v>
      </c>
      <c r="F607">
        <v>116</v>
      </c>
      <c r="G607">
        <v>76</v>
      </c>
      <c r="H607">
        <v>136</v>
      </c>
      <c r="I607">
        <v>148</v>
      </c>
      <c r="J607" s="1">
        <v>-416.66666666666669</v>
      </c>
      <c r="K607">
        <v>20</v>
      </c>
      <c r="L607">
        <v>-10</v>
      </c>
      <c r="M607" s="1">
        <v>-416.66666666666669</v>
      </c>
      <c r="N607">
        <v>14</v>
      </c>
      <c r="O607">
        <v>-2</v>
      </c>
      <c r="P607">
        <v>-18</v>
      </c>
      <c r="Q607" s="1">
        <v>-416.66666666666669</v>
      </c>
      <c r="R607">
        <v>64</v>
      </c>
      <c r="S607">
        <v>66</v>
      </c>
    </row>
    <row r="608" spans="1:19">
      <c r="A608" t="s">
        <v>30</v>
      </c>
      <c r="B608" s="1">
        <v>-416.66666666666669</v>
      </c>
      <c r="C608">
        <v>168</v>
      </c>
      <c r="D608">
        <v>48</v>
      </c>
      <c r="E608">
        <v>180</v>
      </c>
      <c r="F608">
        <v>96</v>
      </c>
      <c r="G608">
        <v>64</v>
      </c>
      <c r="H608">
        <v>124</v>
      </c>
      <c r="I608">
        <v>164</v>
      </c>
      <c r="J608" s="1">
        <v>-416.66666666666669</v>
      </c>
      <c r="K608">
        <v>21</v>
      </c>
      <c r="L608">
        <v>-9</v>
      </c>
      <c r="M608" s="1">
        <v>-416.66666666666669</v>
      </c>
      <c r="N608">
        <v>16</v>
      </c>
      <c r="O608">
        <v>-1</v>
      </c>
      <c r="P608">
        <v>-18</v>
      </c>
      <c r="Q608" s="1">
        <v>-416.66666666666669</v>
      </c>
      <c r="R608">
        <v>58</v>
      </c>
      <c r="S608">
        <v>60</v>
      </c>
    </row>
    <row r="609" spans="1:19">
      <c r="A609" t="s">
        <v>30</v>
      </c>
      <c r="B609" s="1">
        <v>-416.66666666666669</v>
      </c>
      <c r="C609">
        <v>192</v>
      </c>
      <c r="D609">
        <v>48</v>
      </c>
      <c r="E609">
        <v>148</v>
      </c>
      <c r="F609">
        <v>72</v>
      </c>
      <c r="G609">
        <v>84</v>
      </c>
      <c r="H609">
        <v>112</v>
      </c>
      <c r="I609">
        <v>192</v>
      </c>
      <c r="J609" s="1">
        <v>-416.66666666666669</v>
      </c>
      <c r="K609">
        <v>20</v>
      </c>
      <c r="L609">
        <v>-10</v>
      </c>
      <c r="M609" s="1">
        <v>-416.66666666666669</v>
      </c>
      <c r="N609">
        <v>18</v>
      </c>
      <c r="O609">
        <v>0</v>
      </c>
      <c r="P609">
        <v>-18</v>
      </c>
      <c r="Q609" s="1">
        <v>-416.66666666666669</v>
      </c>
      <c r="R609">
        <v>54</v>
      </c>
      <c r="S609">
        <v>54</v>
      </c>
    </row>
    <row r="610" spans="1:19">
      <c r="A610" t="s">
        <v>30</v>
      </c>
      <c r="B610" s="1">
        <v>-416.66666666666669</v>
      </c>
      <c r="C610">
        <v>232</v>
      </c>
      <c r="D610">
        <v>44</v>
      </c>
      <c r="E610">
        <v>136</v>
      </c>
      <c r="F610">
        <v>72</v>
      </c>
      <c r="G610">
        <v>108</v>
      </c>
      <c r="H610">
        <v>96</v>
      </c>
      <c r="I610">
        <v>232</v>
      </c>
      <c r="J610" s="1">
        <v>-416.66666666666669</v>
      </c>
      <c r="K610">
        <v>15</v>
      </c>
      <c r="L610">
        <v>-15</v>
      </c>
      <c r="M610" s="1">
        <v>-416.66666666666669</v>
      </c>
      <c r="N610">
        <v>22</v>
      </c>
      <c r="O610">
        <v>2</v>
      </c>
      <c r="P610">
        <v>-18</v>
      </c>
      <c r="Q610" s="1">
        <v>-416.66666666666669</v>
      </c>
      <c r="R610">
        <v>48</v>
      </c>
      <c r="S610">
        <v>48</v>
      </c>
    </row>
    <row r="611" spans="1:19">
      <c r="A611" t="s">
        <v>30</v>
      </c>
      <c r="B611" s="1">
        <v>-416.66666666666669</v>
      </c>
      <c r="C611">
        <v>264</v>
      </c>
      <c r="D611">
        <v>44</v>
      </c>
      <c r="E611">
        <v>120</v>
      </c>
      <c r="F611">
        <v>72</v>
      </c>
      <c r="G611">
        <v>136</v>
      </c>
      <c r="H611">
        <v>76</v>
      </c>
      <c r="I611">
        <v>324</v>
      </c>
      <c r="J611" s="1">
        <v>-416.66666666666669</v>
      </c>
      <c r="K611">
        <v>14</v>
      </c>
      <c r="L611">
        <v>-16</v>
      </c>
      <c r="M611" s="1">
        <v>-416.66666666666669</v>
      </c>
      <c r="N611">
        <v>20</v>
      </c>
      <c r="O611">
        <v>0</v>
      </c>
      <c r="P611">
        <v>-20</v>
      </c>
      <c r="Q611" s="1">
        <v>-416.66666666666669</v>
      </c>
      <c r="R611">
        <v>40</v>
      </c>
      <c r="S611">
        <v>42</v>
      </c>
    </row>
    <row r="612" spans="1:19">
      <c r="A612" t="s">
        <v>30</v>
      </c>
      <c r="B612" s="1">
        <v>-416.66666666666669</v>
      </c>
      <c r="C612">
        <v>244</v>
      </c>
      <c r="D612">
        <v>56</v>
      </c>
      <c r="E612">
        <v>100</v>
      </c>
      <c r="F612">
        <v>76</v>
      </c>
      <c r="G612">
        <v>160</v>
      </c>
      <c r="H612">
        <v>56</v>
      </c>
      <c r="I612">
        <v>296</v>
      </c>
      <c r="J612" s="1">
        <v>-416.66666666666669</v>
      </c>
      <c r="K612">
        <v>14</v>
      </c>
      <c r="L612">
        <v>-16</v>
      </c>
      <c r="M612" s="1">
        <v>-416.66666666666669</v>
      </c>
      <c r="N612">
        <v>20</v>
      </c>
      <c r="O612">
        <v>0</v>
      </c>
      <c r="P612">
        <v>-20</v>
      </c>
      <c r="Q612" s="1">
        <v>-416.66666666666669</v>
      </c>
      <c r="R612">
        <v>34</v>
      </c>
      <c r="S612">
        <v>36</v>
      </c>
    </row>
    <row r="613" spans="1:19">
      <c r="A613" t="s">
        <v>30</v>
      </c>
      <c r="B613" s="1">
        <v>-416.66666666666669</v>
      </c>
      <c r="C613">
        <v>168</v>
      </c>
      <c r="D613">
        <v>76</v>
      </c>
      <c r="E613">
        <v>60</v>
      </c>
      <c r="F613">
        <v>128</v>
      </c>
      <c r="G613">
        <v>188</v>
      </c>
      <c r="H613">
        <v>24</v>
      </c>
      <c r="I613">
        <v>176</v>
      </c>
      <c r="J613" s="1">
        <v>-416.66666666666669</v>
      </c>
      <c r="K613">
        <v>15</v>
      </c>
      <c r="L613">
        <v>-15</v>
      </c>
      <c r="M613" s="1">
        <v>-416.66666666666669</v>
      </c>
      <c r="N613">
        <v>20</v>
      </c>
      <c r="O613">
        <v>0</v>
      </c>
      <c r="P613">
        <v>-20</v>
      </c>
      <c r="Q613" s="1">
        <v>-416.66666666666669</v>
      </c>
      <c r="R613">
        <v>22</v>
      </c>
      <c r="S613">
        <v>22</v>
      </c>
    </row>
    <row r="614" spans="1:19">
      <c r="A614" t="s">
        <v>30</v>
      </c>
      <c r="B614" s="1">
        <v>-416.66666666666669</v>
      </c>
      <c r="C614">
        <v>136</v>
      </c>
      <c r="D614">
        <v>84</v>
      </c>
      <c r="E614">
        <v>68</v>
      </c>
      <c r="F614">
        <v>152</v>
      </c>
      <c r="G614">
        <v>236</v>
      </c>
      <c r="H614">
        <v>8</v>
      </c>
      <c r="I614">
        <v>148</v>
      </c>
      <c r="J614" s="1">
        <v>-416.66666666666669</v>
      </c>
      <c r="K614">
        <v>16</v>
      </c>
      <c r="L614">
        <v>-14</v>
      </c>
      <c r="M614" s="1">
        <v>-416.66666666666669</v>
      </c>
      <c r="N614">
        <v>18</v>
      </c>
      <c r="O614">
        <v>-1</v>
      </c>
      <c r="P614">
        <v>-20</v>
      </c>
      <c r="Q614" s="1">
        <v>-416.66666666666669</v>
      </c>
      <c r="R614">
        <v>16</v>
      </c>
      <c r="S614">
        <v>16</v>
      </c>
    </row>
    <row r="615" spans="1:19">
      <c r="A615" t="s">
        <v>30</v>
      </c>
      <c r="B615" s="1">
        <v>-416.66666666666669</v>
      </c>
      <c r="C615">
        <v>108</v>
      </c>
      <c r="D615">
        <v>104</v>
      </c>
      <c r="E615">
        <v>72</v>
      </c>
      <c r="F615">
        <v>184</v>
      </c>
      <c r="G615">
        <v>272</v>
      </c>
      <c r="H615">
        <v>0</v>
      </c>
      <c r="I615">
        <v>124</v>
      </c>
      <c r="J615" s="1">
        <v>-416.66666666666669</v>
      </c>
      <c r="K615">
        <v>4</v>
      </c>
      <c r="L615">
        <v>-4</v>
      </c>
      <c r="M615" s="1">
        <v>-416.66666666666669</v>
      </c>
      <c r="N615">
        <v>18</v>
      </c>
      <c r="O615">
        <v>-1</v>
      </c>
      <c r="P615">
        <v>-20</v>
      </c>
      <c r="Q615" s="1">
        <v>-416.66666666666669</v>
      </c>
      <c r="R615">
        <v>8</v>
      </c>
      <c r="S615">
        <v>10</v>
      </c>
    </row>
    <row r="616" spans="1:19">
      <c r="A616" t="s">
        <v>30</v>
      </c>
      <c r="B616" s="1">
        <v>-416.66666666666669</v>
      </c>
      <c r="C616">
        <v>100</v>
      </c>
      <c r="D616">
        <v>128</v>
      </c>
      <c r="E616">
        <v>80</v>
      </c>
      <c r="F616">
        <v>244</v>
      </c>
      <c r="G616">
        <v>220</v>
      </c>
      <c r="H616">
        <v>0</v>
      </c>
      <c r="I616">
        <v>96</v>
      </c>
      <c r="J616" s="1">
        <v>-416.66666666666669</v>
      </c>
      <c r="K616">
        <v>4</v>
      </c>
      <c r="L616">
        <v>-4</v>
      </c>
      <c r="M616" s="1">
        <v>-416.66666666666669</v>
      </c>
      <c r="N616">
        <v>14</v>
      </c>
      <c r="O616">
        <v>-2</v>
      </c>
      <c r="P616">
        <v>-18</v>
      </c>
      <c r="Q616" s="1">
        <v>-416.66666666666669</v>
      </c>
      <c r="R616">
        <v>2</v>
      </c>
      <c r="S616">
        <v>4</v>
      </c>
    </row>
    <row r="617" spans="1:19">
      <c r="A617" t="s">
        <v>30</v>
      </c>
      <c r="B617" s="1">
        <v>-416.66666666666669</v>
      </c>
      <c r="C617">
        <v>104</v>
      </c>
      <c r="D617">
        <v>116</v>
      </c>
      <c r="E617">
        <v>96</v>
      </c>
      <c r="F617">
        <v>288</v>
      </c>
      <c r="G617">
        <v>168</v>
      </c>
      <c r="H617">
        <v>0</v>
      </c>
      <c r="I617">
        <v>80</v>
      </c>
      <c r="J617" s="1">
        <v>-416.66666666666669</v>
      </c>
      <c r="K617">
        <v>0</v>
      </c>
      <c r="L617">
        <v>10</v>
      </c>
      <c r="M617" s="1">
        <v>-416.66666666666669</v>
      </c>
      <c r="N617">
        <v>12</v>
      </c>
      <c r="O617">
        <v>0</v>
      </c>
      <c r="P617" s="12">
        <v>-12</v>
      </c>
      <c r="Q617" s="1">
        <v>-416.66666666666669</v>
      </c>
      <c r="R617">
        <v>0</v>
      </c>
      <c r="S617">
        <v>0</v>
      </c>
    </row>
    <row r="618" spans="1:19">
      <c r="A618" t="s">
        <v>30</v>
      </c>
      <c r="B618" s="1">
        <v>-416.66666666666669</v>
      </c>
      <c r="C618">
        <v>104</v>
      </c>
      <c r="D618">
        <v>100</v>
      </c>
      <c r="E618">
        <v>108</v>
      </c>
      <c r="F618">
        <v>292</v>
      </c>
      <c r="G618">
        <v>144</v>
      </c>
      <c r="H618">
        <v>0</v>
      </c>
      <c r="I618">
        <v>72</v>
      </c>
      <c r="J618" s="1">
        <v>-416.66666666666669</v>
      </c>
      <c r="K618">
        <v>0</v>
      </c>
      <c r="L618">
        <v>10</v>
      </c>
      <c r="M618" s="1">
        <v>-416.66666666666669</v>
      </c>
      <c r="N618">
        <v>8</v>
      </c>
      <c r="O618">
        <v>1</v>
      </c>
      <c r="P618" s="12">
        <v>-6</v>
      </c>
      <c r="Q618" s="1">
        <v>-416.66666666666669</v>
      </c>
      <c r="R618">
        <v>-4</v>
      </c>
      <c r="S618">
        <v>-4</v>
      </c>
    </row>
    <row r="619" spans="1:19">
      <c r="A619" t="s">
        <v>30</v>
      </c>
      <c r="B619" s="1">
        <v>-416.66666666666669</v>
      </c>
      <c r="C619">
        <v>100</v>
      </c>
      <c r="D619">
        <v>92</v>
      </c>
      <c r="E619">
        <v>116</v>
      </c>
      <c r="F619">
        <v>292</v>
      </c>
      <c r="G619">
        <v>140</v>
      </c>
      <c r="H619">
        <v>0</v>
      </c>
      <c r="I619">
        <v>64</v>
      </c>
      <c r="J619" s="1">
        <v>-416.66666666666669</v>
      </c>
      <c r="K619">
        <v>0</v>
      </c>
      <c r="L619">
        <v>10</v>
      </c>
      <c r="M619" s="1">
        <v>-416.66666666666669</v>
      </c>
      <c r="N619">
        <v>6</v>
      </c>
      <c r="O619">
        <v>2</v>
      </c>
      <c r="P619">
        <v>-2</v>
      </c>
      <c r="Q619" s="1">
        <v>-416.66666666666669</v>
      </c>
      <c r="R619">
        <v>-6</v>
      </c>
      <c r="S619">
        <v>-6</v>
      </c>
    </row>
    <row r="620" spans="1:19">
      <c r="A620" t="s">
        <v>30</v>
      </c>
      <c r="B620" s="1">
        <v>-416.66666666666669</v>
      </c>
      <c r="C620">
        <v>100</v>
      </c>
      <c r="D620">
        <v>88</v>
      </c>
      <c r="E620">
        <v>116</v>
      </c>
      <c r="F620">
        <v>292</v>
      </c>
      <c r="G620">
        <v>140</v>
      </c>
      <c r="H620">
        <v>0</v>
      </c>
      <c r="I620">
        <v>64</v>
      </c>
      <c r="J620" s="1">
        <v>-416.66666666666669</v>
      </c>
      <c r="K620">
        <v>0</v>
      </c>
      <c r="L620">
        <v>10</v>
      </c>
      <c r="M620" s="1">
        <v>-416.66666666666669</v>
      </c>
      <c r="N620">
        <v>2</v>
      </c>
      <c r="O620">
        <v>3</v>
      </c>
      <c r="P620" s="12">
        <v>4</v>
      </c>
      <c r="Q620" s="1">
        <v>-416.66666666666669</v>
      </c>
      <c r="R620">
        <v>-6</v>
      </c>
      <c r="S620">
        <v>-6</v>
      </c>
    </row>
    <row r="621" spans="1:19">
      <c r="A621" t="s">
        <v>30</v>
      </c>
      <c r="B621" s="1">
        <v>-416.66666666666669</v>
      </c>
      <c r="C621">
        <v>104</v>
      </c>
      <c r="D621">
        <v>92</v>
      </c>
      <c r="E621">
        <v>116</v>
      </c>
      <c r="F621">
        <v>304</v>
      </c>
      <c r="G621">
        <v>148</v>
      </c>
      <c r="H621">
        <v>0</v>
      </c>
      <c r="I621">
        <v>72</v>
      </c>
      <c r="J621" s="1">
        <v>-416.66666666666669</v>
      </c>
      <c r="K621">
        <v>0</v>
      </c>
      <c r="L621">
        <v>10</v>
      </c>
      <c r="M621" s="1">
        <v>-416.66666666666669</v>
      </c>
      <c r="N621">
        <v>2</v>
      </c>
      <c r="O621">
        <v>3</v>
      </c>
      <c r="P621">
        <v>4</v>
      </c>
      <c r="Q621" s="1">
        <v>-416.66666666666669</v>
      </c>
      <c r="R621">
        <v>-6</v>
      </c>
      <c r="S621">
        <v>-6</v>
      </c>
    </row>
    <row r="622" spans="1:19">
      <c r="A622" t="s">
        <v>30</v>
      </c>
      <c r="B622" s="1">
        <v>-416.66666666666669</v>
      </c>
      <c r="C622">
        <v>104</v>
      </c>
      <c r="D622">
        <v>100</v>
      </c>
      <c r="E622">
        <v>116</v>
      </c>
      <c r="F622">
        <v>312</v>
      </c>
      <c r="G622">
        <v>156</v>
      </c>
      <c r="H622">
        <v>0</v>
      </c>
      <c r="I622">
        <v>76</v>
      </c>
      <c r="J622" s="1">
        <v>-416.66666666666669</v>
      </c>
      <c r="K622">
        <v>0</v>
      </c>
      <c r="L622">
        <v>10</v>
      </c>
      <c r="M622" s="1">
        <v>-416.66666666666669</v>
      </c>
      <c r="N622">
        <v>2</v>
      </c>
      <c r="O622">
        <v>5</v>
      </c>
      <c r="P622">
        <v>8</v>
      </c>
      <c r="Q622" s="1">
        <v>-416.66666666666669</v>
      </c>
      <c r="R622">
        <v>-4</v>
      </c>
      <c r="S622">
        <v>-4</v>
      </c>
    </row>
    <row r="623" spans="1:19">
      <c r="A623" t="s">
        <v>30</v>
      </c>
      <c r="B623" s="1">
        <v>-416.66666666666669</v>
      </c>
      <c r="C623">
        <v>108</v>
      </c>
      <c r="D623">
        <v>108</v>
      </c>
      <c r="E623">
        <v>116</v>
      </c>
      <c r="F623">
        <v>320</v>
      </c>
      <c r="G623">
        <v>168</v>
      </c>
      <c r="H623">
        <v>0</v>
      </c>
      <c r="I623">
        <v>80</v>
      </c>
      <c r="J623" s="1">
        <v>-416.66666666666669</v>
      </c>
      <c r="K623">
        <v>0</v>
      </c>
      <c r="L623">
        <v>10</v>
      </c>
      <c r="M623" s="1">
        <v>-416.66666666666669</v>
      </c>
      <c r="N623">
        <v>2</v>
      </c>
      <c r="O623">
        <v>5</v>
      </c>
      <c r="P623">
        <v>8</v>
      </c>
      <c r="Q623" s="1">
        <v>-416.66666666666669</v>
      </c>
      <c r="R623">
        <v>-4</v>
      </c>
      <c r="S623">
        <v>-4</v>
      </c>
    </row>
    <row r="624" spans="1:19">
      <c r="A624" t="s">
        <v>30</v>
      </c>
      <c r="B624" s="1">
        <v>-416.66666666666669</v>
      </c>
      <c r="C624">
        <v>108</v>
      </c>
      <c r="D624">
        <v>116</v>
      </c>
      <c r="E624">
        <v>112</v>
      </c>
      <c r="F624">
        <v>324</v>
      </c>
      <c r="G624">
        <v>184</v>
      </c>
      <c r="H624">
        <v>0</v>
      </c>
      <c r="I624">
        <v>92</v>
      </c>
      <c r="J624" s="1">
        <v>-416.66666666666669</v>
      </c>
      <c r="K624">
        <v>0</v>
      </c>
      <c r="L624">
        <v>10</v>
      </c>
      <c r="M624" s="1">
        <v>-416.66666666666669</v>
      </c>
      <c r="N624">
        <v>0</v>
      </c>
      <c r="O624">
        <v>5</v>
      </c>
      <c r="P624">
        <v>10</v>
      </c>
      <c r="Q624" s="1">
        <v>-416.66666666666669</v>
      </c>
      <c r="R624">
        <v>-2</v>
      </c>
      <c r="S624">
        <v>-2</v>
      </c>
    </row>
    <row r="625" spans="1:19">
      <c r="A625" t="s">
        <v>51</v>
      </c>
      <c r="B625" s="1">
        <v>-416.66666666666669</v>
      </c>
      <c r="C625">
        <v>112</v>
      </c>
      <c r="D625">
        <v>124</v>
      </c>
      <c r="E625">
        <v>108</v>
      </c>
      <c r="F625">
        <v>320</v>
      </c>
      <c r="G625">
        <v>204</v>
      </c>
      <c r="H625">
        <v>0</v>
      </c>
      <c r="I625">
        <v>100</v>
      </c>
      <c r="J625" s="1">
        <v>-416.66666666666669</v>
      </c>
      <c r="K625">
        <v>-10</v>
      </c>
      <c r="L625">
        <v>-10</v>
      </c>
      <c r="M625" s="1">
        <v>-416.66666666666669</v>
      </c>
      <c r="N625">
        <v>0</v>
      </c>
      <c r="O625">
        <v>4</v>
      </c>
      <c r="P625">
        <v>8</v>
      </c>
      <c r="Q625" s="1">
        <v>-416.66666666666669</v>
      </c>
      <c r="R625">
        <v>0</v>
      </c>
      <c r="S625">
        <v>0</v>
      </c>
    </row>
    <row r="626" spans="1:19">
      <c r="A626" t="s">
        <v>51</v>
      </c>
      <c r="B626" s="1">
        <v>-416.66666666666669</v>
      </c>
      <c r="C626">
        <v>116</v>
      </c>
      <c r="D626">
        <v>124</v>
      </c>
      <c r="E626">
        <v>108</v>
      </c>
      <c r="F626">
        <v>312</v>
      </c>
      <c r="G626">
        <v>216</v>
      </c>
      <c r="H626">
        <v>0</v>
      </c>
      <c r="I626">
        <v>104</v>
      </c>
      <c r="J626" s="1">
        <v>-416.66666666666669</v>
      </c>
      <c r="K626">
        <v>-10</v>
      </c>
      <c r="L626">
        <v>-10</v>
      </c>
      <c r="M626" s="1">
        <v>-416.66666666666669</v>
      </c>
      <c r="N626">
        <v>-2</v>
      </c>
      <c r="O626">
        <v>0</v>
      </c>
      <c r="P626">
        <v>2</v>
      </c>
      <c r="Q626" s="1">
        <v>-416.66666666666669</v>
      </c>
      <c r="R626">
        <v>0</v>
      </c>
      <c r="S626">
        <v>0</v>
      </c>
    </row>
    <row r="627" spans="1:19">
      <c r="A627" t="s">
        <v>51</v>
      </c>
      <c r="B627" s="1">
        <v>-416.66666666666669</v>
      </c>
      <c r="C627">
        <v>120</v>
      </c>
      <c r="D627">
        <v>128</v>
      </c>
      <c r="E627">
        <v>104</v>
      </c>
      <c r="F627">
        <v>300</v>
      </c>
      <c r="G627">
        <v>220</v>
      </c>
      <c r="H627">
        <v>0</v>
      </c>
      <c r="I627">
        <v>104</v>
      </c>
      <c r="J627" s="1">
        <v>-416.66666666666669</v>
      </c>
      <c r="K627">
        <v>-10</v>
      </c>
      <c r="L627">
        <v>-10</v>
      </c>
      <c r="M627" s="1">
        <v>-416.66666666666669</v>
      </c>
      <c r="N627">
        <v>-4</v>
      </c>
      <c r="O627">
        <v>-3</v>
      </c>
      <c r="P627">
        <v>-2</v>
      </c>
      <c r="Q627" s="1">
        <v>-416.66666666666669</v>
      </c>
      <c r="R627">
        <v>2</v>
      </c>
      <c r="S627">
        <v>0</v>
      </c>
    </row>
    <row r="628" spans="1:19">
      <c r="A628" t="s">
        <v>51</v>
      </c>
      <c r="B628" s="1">
        <v>-416.66666666666669</v>
      </c>
      <c r="C628">
        <v>116</v>
      </c>
      <c r="D628">
        <v>124</v>
      </c>
      <c r="E628">
        <v>104</v>
      </c>
      <c r="F628">
        <v>292</v>
      </c>
      <c r="G628">
        <v>216</v>
      </c>
      <c r="H628">
        <v>0</v>
      </c>
      <c r="I628">
        <v>104</v>
      </c>
      <c r="J628" s="1">
        <v>-416.66666666666669</v>
      </c>
      <c r="K628">
        <v>-10</v>
      </c>
      <c r="L628">
        <v>-10</v>
      </c>
      <c r="M628" s="1">
        <v>-416.66666666666669</v>
      </c>
      <c r="N628">
        <v>-4</v>
      </c>
      <c r="O628">
        <v>-4</v>
      </c>
      <c r="P628">
        <v>-4</v>
      </c>
      <c r="Q628" s="1">
        <v>-416.66666666666669</v>
      </c>
      <c r="R628">
        <v>2</v>
      </c>
      <c r="S628">
        <v>0</v>
      </c>
    </row>
    <row r="629" spans="1:19">
      <c r="A629" t="s">
        <v>51</v>
      </c>
      <c r="B629" s="1">
        <v>-416.66666666666669</v>
      </c>
      <c r="C629">
        <v>112</v>
      </c>
      <c r="D629">
        <v>124</v>
      </c>
      <c r="E629">
        <v>100</v>
      </c>
      <c r="F629">
        <v>288</v>
      </c>
      <c r="G629">
        <v>208</v>
      </c>
      <c r="H629">
        <v>0</v>
      </c>
      <c r="I629">
        <v>96</v>
      </c>
      <c r="J629" s="1">
        <v>-416.66666666666669</v>
      </c>
      <c r="K629">
        <v>-10</v>
      </c>
      <c r="L629">
        <v>-10</v>
      </c>
      <c r="M629" s="1">
        <v>-416.66666666666669</v>
      </c>
      <c r="N629">
        <v>-6</v>
      </c>
      <c r="O629">
        <v>-7</v>
      </c>
      <c r="P629">
        <v>-8</v>
      </c>
      <c r="Q629" s="1">
        <v>-416.66666666666669</v>
      </c>
      <c r="R629">
        <v>0</v>
      </c>
      <c r="S629">
        <v>0</v>
      </c>
    </row>
    <row r="630" spans="1:19">
      <c r="A630" t="s">
        <v>51</v>
      </c>
      <c r="B630" s="1">
        <v>-416.66666666666669</v>
      </c>
      <c r="C630">
        <v>108</v>
      </c>
      <c r="D630">
        <v>124</v>
      </c>
      <c r="E630">
        <v>96</v>
      </c>
      <c r="F630">
        <v>284</v>
      </c>
      <c r="G630">
        <v>196</v>
      </c>
      <c r="H630">
        <v>0</v>
      </c>
      <c r="I630">
        <v>92</v>
      </c>
      <c r="J630" s="1">
        <v>-416.66666666666669</v>
      </c>
      <c r="K630">
        <v>-5</v>
      </c>
      <c r="L630">
        <v>-10</v>
      </c>
      <c r="M630" s="1">
        <v>-416.66666666666669</v>
      </c>
      <c r="N630">
        <v>-8</v>
      </c>
      <c r="O630">
        <v>-8</v>
      </c>
      <c r="P630" s="12">
        <v>-8</v>
      </c>
      <c r="Q630" s="1">
        <v>-416.66666666666669</v>
      </c>
      <c r="R630">
        <v>0</v>
      </c>
      <c r="S630">
        <v>0</v>
      </c>
    </row>
    <row r="631" spans="1:19">
      <c r="A631" t="s">
        <v>51</v>
      </c>
      <c r="B631" s="1">
        <v>-416.66666666666669</v>
      </c>
      <c r="C631">
        <v>104</v>
      </c>
      <c r="D631">
        <v>120</v>
      </c>
      <c r="E631">
        <v>96</v>
      </c>
      <c r="F631">
        <v>276</v>
      </c>
      <c r="G631">
        <v>184</v>
      </c>
      <c r="H631">
        <v>0</v>
      </c>
      <c r="I631">
        <v>84</v>
      </c>
      <c r="J631" s="1">
        <v>-416.66666666666669</v>
      </c>
      <c r="K631">
        <v>-5</v>
      </c>
      <c r="L631">
        <v>-10</v>
      </c>
      <c r="M631" s="1">
        <v>-416.66666666666669</v>
      </c>
      <c r="N631">
        <v>-8</v>
      </c>
      <c r="O631">
        <v>-8</v>
      </c>
      <c r="P631">
        <v>-8</v>
      </c>
      <c r="Q631" s="1">
        <v>-416.66666666666669</v>
      </c>
      <c r="R631">
        <v>0</v>
      </c>
      <c r="S631">
        <v>0</v>
      </c>
    </row>
    <row r="632" spans="1:19">
      <c r="A632" t="s">
        <v>51</v>
      </c>
      <c r="B632" s="1">
        <v>-416.66666666666669</v>
      </c>
      <c r="C632">
        <v>100</v>
      </c>
      <c r="D632">
        <v>120</v>
      </c>
      <c r="E632">
        <v>92</v>
      </c>
      <c r="F632">
        <v>272</v>
      </c>
      <c r="G632">
        <v>172</v>
      </c>
      <c r="H632">
        <v>0</v>
      </c>
      <c r="I632">
        <v>80</v>
      </c>
      <c r="J632" s="1">
        <v>-416.66666666666669</v>
      </c>
      <c r="K632">
        <v>-5</v>
      </c>
      <c r="L632">
        <v>-10</v>
      </c>
      <c r="M632" s="1">
        <v>-416.66666666666669</v>
      </c>
      <c r="N632">
        <v>-8</v>
      </c>
      <c r="O632">
        <v>-9</v>
      </c>
      <c r="P632">
        <v>-10</v>
      </c>
      <c r="Q632" s="1">
        <v>-416.66666666666669</v>
      </c>
      <c r="R632">
        <v>0</v>
      </c>
      <c r="S632">
        <v>0</v>
      </c>
    </row>
    <row r="633" spans="1:19">
      <c r="A633" t="s">
        <v>51</v>
      </c>
      <c r="B633" s="1">
        <v>-416.66666666666669</v>
      </c>
      <c r="C633">
        <v>96</v>
      </c>
      <c r="D633">
        <v>116</v>
      </c>
      <c r="E633">
        <v>88</v>
      </c>
      <c r="F633">
        <v>264</v>
      </c>
      <c r="G633">
        <v>160</v>
      </c>
      <c r="H633">
        <v>0</v>
      </c>
      <c r="I633">
        <v>76</v>
      </c>
      <c r="J633" s="1">
        <v>-416.66666666666669</v>
      </c>
      <c r="K633">
        <v>-5</v>
      </c>
      <c r="L633">
        <v>-10</v>
      </c>
      <c r="M633" s="1">
        <v>-416.66666666666669</v>
      </c>
      <c r="N633">
        <v>-8</v>
      </c>
      <c r="O633">
        <v>-9</v>
      </c>
      <c r="P633">
        <v>-10</v>
      </c>
      <c r="Q633" s="1">
        <v>-416.66666666666669</v>
      </c>
      <c r="R633">
        <v>0</v>
      </c>
      <c r="S633">
        <v>0</v>
      </c>
    </row>
    <row r="634" spans="1:19">
      <c r="A634" t="s">
        <v>51</v>
      </c>
      <c r="B634" s="1">
        <v>-416.66666666666669</v>
      </c>
      <c r="C634">
        <v>92</v>
      </c>
      <c r="D634">
        <v>112</v>
      </c>
      <c r="E634">
        <v>84</v>
      </c>
      <c r="F634">
        <v>256</v>
      </c>
      <c r="G634">
        <v>148</v>
      </c>
      <c r="H634">
        <v>0</v>
      </c>
      <c r="I634">
        <v>68</v>
      </c>
      <c r="J634" s="1">
        <v>-416.66666666666669</v>
      </c>
      <c r="K634">
        <v>-5</v>
      </c>
      <c r="L634">
        <v>-10</v>
      </c>
      <c r="M634" s="1">
        <v>-416.66666666666669</v>
      </c>
      <c r="N634">
        <v>-8</v>
      </c>
      <c r="O634">
        <v>-10</v>
      </c>
      <c r="P634">
        <v>-12</v>
      </c>
      <c r="Q634" s="1">
        <v>-416.66666666666669</v>
      </c>
      <c r="R634">
        <v>0</v>
      </c>
      <c r="S634">
        <v>-2</v>
      </c>
    </row>
    <row r="635" spans="1:19">
      <c r="A635" t="s">
        <v>51</v>
      </c>
      <c r="B635" s="1">
        <v>-416.66666666666669</v>
      </c>
      <c r="C635">
        <v>92</v>
      </c>
      <c r="D635">
        <v>108</v>
      </c>
      <c r="E635">
        <v>84</v>
      </c>
      <c r="F635">
        <v>244</v>
      </c>
      <c r="G635">
        <v>132</v>
      </c>
      <c r="H635">
        <v>0</v>
      </c>
      <c r="I635">
        <v>64</v>
      </c>
      <c r="J635" s="1">
        <v>-416.66666666666669</v>
      </c>
      <c r="K635">
        <v>-5</v>
      </c>
      <c r="L635">
        <v>-10</v>
      </c>
      <c r="M635" s="1">
        <v>-416.66666666666669</v>
      </c>
      <c r="N635">
        <v>-8</v>
      </c>
      <c r="O635">
        <v>-11</v>
      </c>
      <c r="P635">
        <v>-14</v>
      </c>
      <c r="Q635" s="1">
        <v>-416.66666666666669</v>
      </c>
      <c r="R635">
        <v>0</v>
      </c>
      <c r="S635">
        <v>-2</v>
      </c>
    </row>
    <row r="636" spans="1:19">
      <c r="A636" t="s">
        <v>51</v>
      </c>
      <c r="B636" s="1">
        <v>-416.66666666666669</v>
      </c>
      <c r="C636">
        <v>92</v>
      </c>
      <c r="D636">
        <v>104</v>
      </c>
      <c r="E636">
        <v>80</v>
      </c>
      <c r="F636">
        <v>232</v>
      </c>
      <c r="G636">
        <v>124</v>
      </c>
      <c r="H636">
        <v>0</v>
      </c>
      <c r="I636">
        <v>56</v>
      </c>
      <c r="J636" s="1">
        <v>-416.66666666666669</v>
      </c>
      <c r="K636">
        <v>-5</v>
      </c>
      <c r="L636">
        <v>-10</v>
      </c>
      <c r="M636" s="1">
        <v>-416.66666666666669</v>
      </c>
      <c r="N636">
        <v>-10</v>
      </c>
      <c r="O636">
        <v>-11</v>
      </c>
      <c r="P636">
        <v>-12</v>
      </c>
      <c r="Q636" s="1">
        <v>-416.66666666666669</v>
      </c>
      <c r="R636">
        <v>0</v>
      </c>
      <c r="S636">
        <v>-2</v>
      </c>
    </row>
    <row r="637" spans="1:19">
      <c r="A637" t="s">
        <v>51</v>
      </c>
      <c r="B637" s="1">
        <v>-416.66666666666669</v>
      </c>
      <c r="C637">
        <v>84</v>
      </c>
      <c r="D637">
        <v>104</v>
      </c>
      <c r="E637">
        <v>76</v>
      </c>
      <c r="F637">
        <v>220</v>
      </c>
      <c r="G637">
        <v>112</v>
      </c>
      <c r="H637">
        <v>0</v>
      </c>
      <c r="I637">
        <v>52</v>
      </c>
      <c r="J637" s="1">
        <v>-416.66666666666669</v>
      </c>
      <c r="K637">
        <v>-5</v>
      </c>
      <c r="L637">
        <v>-10</v>
      </c>
      <c r="M637" s="1">
        <v>-416.66666666666669</v>
      </c>
      <c r="N637">
        <v>-8</v>
      </c>
      <c r="O637">
        <v>-11</v>
      </c>
      <c r="P637">
        <v>-14</v>
      </c>
      <c r="Q637" s="1">
        <v>-416.66666666666669</v>
      </c>
      <c r="R637">
        <v>0</v>
      </c>
      <c r="S637">
        <v>-2</v>
      </c>
    </row>
    <row r="638" spans="1:19">
      <c r="A638" t="s">
        <v>51</v>
      </c>
      <c r="B638" s="1">
        <v>-416.66666666666669</v>
      </c>
      <c r="C638">
        <v>80</v>
      </c>
      <c r="D638">
        <v>100</v>
      </c>
      <c r="E638">
        <v>76</v>
      </c>
      <c r="F638">
        <v>208</v>
      </c>
      <c r="G638">
        <v>104</v>
      </c>
      <c r="H638">
        <v>0</v>
      </c>
      <c r="I638">
        <v>48</v>
      </c>
      <c r="J638" s="1">
        <v>-416.66666666666669</v>
      </c>
      <c r="K638">
        <v>-5</v>
      </c>
      <c r="L638">
        <v>-10</v>
      </c>
      <c r="M638" s="1">
        <v>-416.66666666666669</v>
      </c>
      <c r="N638">
        <v>-10</v>
      </c>
      <c r="O638">
        <v>-12</v>
      </c>
      <c r="P638" s="12">
        <v>-14</v>
      </c>
      <c r="Q638" s="1">
        <v>-416.66666666666669</v>
      </c>
      <c r="R638">
        <v>0</v>
      </c>
      <c r="S638">
        <v>-4</v>
      </c>
    </row>
    <row r="639" spans="1:19">
      <c r="A639" t="s">
        <v>51</v>
      </c>
      <c r="B639" s="1">
        <v>-416.66666666666669</v>
      </c>
      <c r="C639">
        <v>80</v>
      </c>
      <c r="D639">
        <v>96</v>
      </c>
      <c r="E639">
        <v>72</v>
      </c>
      <c r="F639">
        <v>196</v>
      </c>
      <c r="G639">
        <v>96</v>
      </c>
      <c r="H639">
        <v>0</v>
      </c>
      <c r="I639">
        <v>44</v>
      </c>
      <c r="J639" s="1">
        <v>-416.66666666666669</v>
      </c>
      <c r="K639">
        <v>-5</v>
      </c>
      <c r="L639">
        <v>-10</v>
      </c>
      <c r="M639" s="1">
        <v>-416.66666666666669</v>
      </c>
      <c r="N639">
        <v>-10</v>
      </c>
      <c r="O639">
        <v>-12</v>
      </c>
      <c r="P639">
        <v>-14</v>
      </c>
      <c r="Q639" s="1">
        <v>-416.66666666666669</v>
      </c>
      <c r="R639">
        <v>0</v>
      </c>
      <c r="S639">
        <v>-4</v>
      </c>
    </row>
    <row r="640" spans="1:19">
      <c r="A640" t="s">
        <v>51</v>
      </c>
      <c r="B640" s="1">
        <v>-416.66666666666669</v>
      </c>
      <c r="C640">
        <v>72</v>
      </c>
      <c r="D640">
        <v>92</v>
      </c>
      <c r="E640">
        <v>68</v>
      </c>
      <c r="F640">
        <v>180</v>
      </c>
      <c r="G640">
        <v>88</v>
      </c>
      <c r="H640">
        <v>0</v>
      </c>
      <c r="I640">
        <v>40</v>
      </c>
      <c r="J640" s="1">
        <v>-416.66666666666669</v>
      </c>
      <c r="K640">
        <v>6</v>
      </c>
      <c r="L640">
        <v>14</v>
      </c>
      <c r="M640" s="1">
        <v>-416.66666666666669</v>
      </c>
      <c r="N640">
        <v>-10</v>
      </c>
      <c r="O640">
        <v>-11</v>
      </c>
      <c r="P640" s="12">
        <v>-12</v>
      </c>
      <c r="Q640" s="1">
        <v>-416.66666666666669</v>
      </c>
      <c r="R640">
        <v>0</v>
      </c>
      <c r="S640">
        <v>-4</v>
      </c>
    </row>
    <row r="641" spans="1:19">
      <c r="A641" t="s">
        <v>51</v>
      </c>
      <c r="B641" s="1">
        <v>-416.66666666666669</v>
      </c>
      <c r="C641">
        <v>72</v>
      </c>
      <c r="D641">
        <v>88</v>
      </c>
      <c r="E641">
        <v>68</v>
      </c>
      <c r="F641">
        <v>172</v>
      </c>
      <c r="G641">
        <v>84</v>
      </c>
      <c r="H641">
        <v>0</v>
      </c>
      <c r="I641">
        <v>32</v>
      </c>
      <c r="J641" s="1">
        <v>-416.66666666666669</v>
      </c>
      <c r="K641">
        <v>10</v>
      </c>
      <c r="L641">
        <v>10</v>
      </c>
      <c r="M641" s="1">
        <v>-416.66666666666669</v>
      </c>
      <c r="N641">
        <v>-4</v>
      </c>
      <c r="O641">
        <v>-6</v>
      </c>
      <c r="P641">
        <v>-8</v>
      </c>
      <c r="Q641" s="1">
        <v>-416.66666666666669</v>
      </c>
      <c r="R641">
        <v>0</v>
      </c>
      <c r="S641">
        <v>-6</v>
      </c>
    </row>
    <row r="642" spans="1:19">
      <c r="A642" t="s">
        <v>51</v>
      </c>
      <c r="B642" s="1">
        <v>-416.66666666666669</v>
      </c>
      <c r="C642">
        <v>72</v>
      </c>
      <c r="D642">
        <v>88</v>
      </c>
      <c r="E642">
        <v>68</v>
      </c>
      <c r="F642">
        <v>168</v>
      </c>
      <c r="G642">
        <v>84</v>
      </c>
      <c r="H642">
        <v>0</v>
      </c>
      <c r="I642">
        <v>32</v>
      </c>
      <c r="J642" s="1">
        <v>-416.66666666666669</v>
      </c>
      <c r="K642">
        <v>10</v>
      </c>
      <c r="L642">
        <v>10</v>
      </c>
      <c r="M642" s="1">
        <v>-416.66666666666669</v>
      </c>
      <c r="N642">
        <v>0</v>
      </c>
      <c r="O642">
        <v>-1</v>
      </c>
      <c r="P642">
        <v>-2</v>
      </c>
      <c r="Q642" s="1">
        <v>-416.66666666666669</v>
      </c>
      <c r="R642">
        <v>0</v>
      </c>
      <c r="S642">
        <v>-6</v>
      </c>
    </row>
    <row r="643" spans="1:19">
      <c r="A643" t="s">
        <v>51</v>
      </c>
      <c r="B643" s="1">
        <v>-416.66666666666669</v>
      </c>
      <c r="C643">
        <v>72</v>
      </c>
      <c r="D643">
        <v>88</v>
      </c>
      <c r="E643">
        <v>68</v>
      </c>
      <c r="F643">
        <v>172</v>
      </c>
      <c r="G643">
        <v>84</v>
      </c>
      <c r="H643">
        <v>0</v>
      </c>
      <c r="I643">
        <v>36</v>
      </c>
      <c r="J643" s="1">
        <v>-416.66666666666669</v>
      </c>
      <c r="K643">
        <v>10</v>
      </c>
      <c r="L643">
        <v>10</v>
      </c>
      <c r="M643" s="1">
        <v>-416.66666666666669</v>
      </c>
      <c r="N643">
        <v>2</v>
      </c>
      <c r="O643">
        <v>1</v>
      </c>
      <c r="P643">
        <v>0</v>
      </c>
      <c r="Q643" s="1">
        <v>-416.66666666666669</v>
      </c>
      <c r="R643">
        <v>0</v>
      </c>
      <c r="S643">
        <v>-6</v>
      </c>
    </row>
    <row r="644" spans="1:19">
      <c r="A644" t="s">
        <v>51</v>
      </c>
      <c r="B644" s="1">
        <v>-416.66666666666669</v>
      </c>
      <c r="C644">
        <v>76</v>
      </c>
      <c r="D644">
        <v>88</v>
      </c>
      <c r="E644">
        <v>68</v>
      </c>
      <c r="F644">
        <v>176</v>
      </c>
      <c r="G644">
        <v>88</v>
      </c>
      <c r="H644">
        <v>0</v>
      </c>
      <c r="I644">
        <v>36</v>
      </c>
      <c r="J644" s="1">
        <v>-416.66666666666669</v>
      </c>
      <c r="K644">
        <v>10</v>
      </c>
      <c r="L644">
        <v>10</v>
      </c>
      <c r="M644" s="1">
        <v>-416.66666666666669</v>
      </c>
      <c r="N644">
        <v>4</v>
      </c>
      <c r="O644">
        <v>4</v>
      </c>
      <c r="P644" s="12">
        <v>4</v>
      </c>
      <c r="Q644" s="1">
        <v>-416.66666666666669</v>
      </c>
      <c r="R644">
        <v>0</v>
      </c>
      <c r="S644">
        <v>-6</v>
      </c>
    </row>
    <row r="645" spans="1:19">
      <c r="A645" t="s">
        <v>51</v>
      </c>
      <c r="B645" s="1">
        <v>-416.66666666666669</v>
      </c>
      <c r="C645">
        <v>80</v>
      </c>
      <c r="D645">
        <v>88</v>
      </c>
      <c r="E645">
        <v>72</v>
      </c>
      <c r="F645">
        <v>184</v>
      </c>
      <c r="G645">
        <v>88</v>
      </c>
      <c r="H645">
        <v>0</v>
      </c>
      <c r="I645">
        <v>36</v>
      </c>
      <c r="J645" s="1">
        <v>-416.66666666666669</v>
      </c>
      <c r="K645">
        <v>10</v>
      </c>
      <c r="L645">
        <v>10</v>
      </c>
      <c r="M645" s="1">
        <v>-416.66666666666669</v>
      </c>
      <c r="N645">
        <v>6</v>
      </c>
      <c r="O645">
        <v>7</v>
      </c>
      <c r="P645">
        <v>8</v>
      </c>
      <c r="Q645" s="1">
        <v>-416.66666666666669</v>
      </c>
      <c r="R645">
        <v>0</v>
      </c>
      <c r="S645">
        <v>-4</v>
      </c>
    </row>
    <row r="646" spans="1:19">
      <c r="A646" t="s">
        <v>51</v>
      </c>
      <c r="B646" s="1">
        <v>-416.66666666666669</v>
      </c>
      <c r="C646">
        <v>76</v>
      </c>
      <c r="D646">
        <v>88</v>
      </c>
      <c r="E646">
        <v>76</v>
      </c>
      <c r="F646">
        <v>192</v>
      </c>
      <c r="G646">
        <v>92</v>
      </c>
      <c r="H646">
        <v>0</v>
      </c>
      <c r="I646">
        <v>44</v>
      </c>
      <c r="J646" s="1">
        <v>-416.66666666666669</v>
      </c>
      <c r="K646">
        <v>10</v>
      </c>
      <c r="L646">
        <v>10</v>
      </c>
      <c r="M646" s="1">
        <v>-416.66666666666669</v>
      </c>
      <c r="N646">
        <v>8</v>
      </c>
      <c r="O646">
        <v>7</v>
      </c>
      <c r="P646">
        <v>6</v>
      </c>
      <c r="Q646" s="1">
        <v>-416.66666666666669</v>
      </c>
      <c r="R646">
        <v>0</v>
      </c>
      <c r="S646">
        <v>-6</v>
      </c>
    </row>
    <row r="647" spans="1:19">
      <c r="A647" t="s">
        <v>51</v>
      </c>
      <c r="B647" s="1">
        <v>-416.66666666666669</v>
      </c>
      <c r="C647">
        <v>80</v>
      </c>
      <c r="D647">
        <v>88</v>
      </c>
      <c r="E647">
        <v>76</v>
      </c>
      <c r="F647">
        <v>200</v>
      </c>
      <c r="G647">
        <v>96</v>
      </c>
      <c r="H647">
        <v>0</v>
      </c>
      <c r="I647">
        <v>40</v>
      </c>
      <c r="J647" s="1">
        <v>-416.66666666666669</v>
      </c>
      <c r="K647">
        <v>10</v>
      </c>
      <c r="L647">
        <v>10</v>
      </c>
      <c r="M647" s="1">
        <v>-416.66666666666669</v>
      </c>
      <c r="N647">
        <v>8</v>
      </c>
      <c r="O647">
        <v>8</v>
      </c>
      <c r="P647">
        <v>8</v>
      </c>
      <c r="Q647" s="1">
        <v>-416.66666666666669</v>
      </c>
      <c r="R647">
        <v>0</v>
      </c>
      <c r="S647">
        <v>-6</v>
      </c>
    </row>
    <row r="648" spans="1:19">
      <c r="A648" t="s">
        <v>51</v>
      </c>
      <c r="B648" s="1">
        <v>-416.66666666666669</v>
      </c>
      <c r="C648">
        <v>80</v>
      </c>
      <c r="D648">
        <v>88</v>
      </c>
      <c r="E648">
        <v>80</v>
      </c>
      <c r="F648">
        <v>208</v>
      </c>
      <c r="G648">
        <v>100</v>
      </c>
      <c r="H648">
        <v>0</v>
      </c>
      <c r="I648">
        <v>44</v>
      </c>
      <c r="J648" s="1">
        <v>-416.66666666666669</v>
      </c>
      <c r="K648">
        <v>10</v>
      </c>
      <c r="L648">
        <v>10</v>
      </c>
      <c r="M648" s="1">
        <v>-416.66666666666669</v>
      </c>
      <c r="N648">
        <v>10</v>
      </c>
      <c r="O648">
        <v>9</v>
      </c>
      <c r="P648">
        <v>8</v>
      </c>
      <c r="Q648" s="1">
        <v>-416.66666666666669</v>
      </c>
      <c r="R648">
        <v>0</v>
      </c>
      <c r="S648">
        <v>-6</v>
      </c>
    </row>
    <row r="649" spans="1:19">
      <c r="A649" t="s">
        <v>51</v>
      </c>
      <c r="B649" s="1">
        <v>-416.66666666666669</v>
      </c>
      <c r="C649">
        <v>84</v>
      </c>
      <c r="D649">
        <v>88</v>
      </c>
      <c r="E649">
        <v>88</v>
      </c>
      <c r="F649">
        <v>220</v>
      </c>
      <c r="G649">
        <v>104</v>
      </c>
      <c r="H649">
        <v>0</v>
      </c>
      <c r="I649">
        <v>48</v>
      </c>
      <c r="J649" s="1">
        <v>-416.66666666666669</v>
      </c>
      <c r="K649">
        <v>10</v>
      </c>
      <c r="L649">
        <v>10</v>
      </c>
      <c r="M649" s="1">
        <v>-416.66666666666669</v>
      </c>
      <c r="N649">
        <v>10</v>
      </c>
      <c r="O649">
        <v>10</v>
      </c>
      <c r="P649" s="12">
        <v>10</v>
      </c>
      <c r="Q649" s="1">
        <v>-416.66666666666669</v>
      </c>
      <c r="R649">
        <v>0</v>
      </c>
      <c r="S649">
        <v>-6</v>
      </c>
    </row>
    <row r="650" spans="1:19">
      <c r="A650" t="s">
        <v>51</v>
      </c>
      <c r="B650" s="1">
        <v>-416.66666666666669</v>
      </c>
      <c r="C650">
        <v>88</v>
      </c>
      <c r="D650">
        <v>88</v>
      </c>
      <c r="E650">
        <v>92</v>
      </c>
      <c r="F650">
        <v>232</v>
      </c>
      <c r="G650">
        <v>112</v>
      </c>
      <c r="H650">
        <v>0</v>
      </c>
      <c r="I650">
        <v>52</v>
      </c>
      <c r="J650" s="1">
        <v>-416.66666666666669</v>
      </c>
      <c r="K650">
        <v>10</v>
      </c>
      <c r="L650">
        <v>10</v>
      </c>
      <c r="M650" s="1">
        <v>-416.66666666666669</v>
      </c>
      <c r="N650">
        <v>10</v>
      </c>
      <c r="O650">
        <v>9</v>
      </c>
      <c r="P650">
        <v>8</v>
      </c>
      <c r="Q650" s="1">
        <v>-416.66666666666669</v>
      </c>
      <c r="R650">
        <v>0</v>
      </c>
      <c r="S650">
        <v>-6</v>
      </c>
    </row>
    <row r="651" spans="1:19">
      <c r="A651" t="s">
        <v>51</v>
      </c>
      <c r="B651" s="1">
        <v>-416.66666666666669</v>
      </c>
      <c r="C651">
        <v>92</v>
      </c>
      <c r="D651">
        <v>88</v>
      </c>
      <c r="E651">
        <v>92</v>
      </c>
      <c r="F651">
        <v>244</v>
      </c>
      <c r="G651">
        <v>116</v>
      </c>
      <c r="H651">
        <v>0</v>
      </c>
      <c r="I651">
        <v>56</v>
      </c>
      <c r="J651" s="1">
        <v>-416.66666666666669</v>
      </c>
      <c r="K651">
        <v>-16</v>
      </c>
      <c r="L651">
        <v>14</v>
      </c>
      <c r="M651" s="1">
        <v>-416.66666666666669</v>
      </c>
      <c r="N651">
        <v>6</v>
      </c>
      <c r="O651">
        <v>7</v>
      </c>
      <c r="P651" s="12">
        <v>8</v>
      </c>
      <c r="Q651" s="1">
        <v>-416.66666666666669</v>
      </c>
      <c r="R651">
        <v>-84</v>
      </c>
      <c r="S651">
        <v>-6</v>
      </c>
    </row>
    <row r="652" spans="1:19">
      <c r="A652" t="s">
        <v>51</v>
      </c>
      <c r="B652" s="1">
        <v>-416.66666666666669</v>
      </c>
      <c r="C652">
        <v>96</v>
      </c>
      <c r="D652">
        <v>96</v>
      </c>
      <c r="E652">
        <v>96</v>
      </c>
      <c r="F652">
        <v>256</v>
      </c>
      <c r="G652">
        <v>128</v>
      </c>
      <c r="H652">
        <v>0</v>
      </c>
      <c r="I652">
        <v>60</v>
      </c>
      <c r="J652" s="1">
        <v>-416.66666666666669</v>
      </c>
      <c r="K652">
        <v>-28</v>
      </c>
      <c r="L652">
        <v>4</v>
      </c>
      <c r="M652" s="1">
        <v>-416.66666666666669</v>
      </c>
      <c r="N652">
        <v>-2</v>
      </c>
      <c r="O652">
        <v>4</v>
      </c>
      <c r="P652">
        <v>10</v>
      </c>
      <c r="Q652" s="1">
        <v>-416.66666666666669</v>
      </c>
      <c r="R652">
        <v>-82</v>
      </c>
      <c r="S652">
        <v>-4</v>
      </c>
    </row>
    <row r="653" spans="1:19">
      <c r="A653" t="s">
        <v>51</v>
      </c>
      <c r="B653" s="1">
        <v>-416.66666666666669</v>
      </c>
      <c r="C653">
        <v>96</v>
      </c>
      <c r="D653">
        <v>112</v>
      </c>
      <c r="E653">
        <v>84</v>
      </c>
      <c r="F653">
        <v>244</v>
      </c>
      <c r="G653">
        <v>148</v>
      </c>
      <c r="H653">
        <v>0</v>
      </c>
      <c r="I653">
        <v>76</v>
      </c>
      <c r="J653" s="1">
        <v>-416.66666666666669</v>
      </c>
      <c r="K653">
        <v>-25</v>
      </c>
      <c r="L653">
        <v>5</v>
      </c>
      <c r="M653" s="1">
        <v>-416.66666666666669</v>
      </c>
      <c r="N653">
        <v>-12</v>
      </c>
      <c r="O653">
        <v>-2</v>
      </c>
      <c r="P653">
        <v>8</v>
      </c>
      <c r="Q653" s="1">
        <v>-416.66666666666669</v>
      </c>
      <c r="R653">
        <v>-80</v>
      </c>
      <c r="S653">
        <v>-2</v>
      </c>
    </row>
    <row r="654" spans="1:19">
      <c r="A654" t="s">
        <v>51</v>
      </c>
      <c r="B654" s="1">
        <v>-416.66666666666669</v>
      </c>
      <c r="C654">
        <v>96</v>
      </c>
      <c r="D654">
        <v>120</v>
      </c>
      <c r="E654">
        <v>72</v>
      </c>
      <c r="F654">
        <v>212</v>
      </c>
      <c r="G654">
        <v>184</v>
      </c>
      <c r="H654">
        <v>0</v>
      </c>
      <c r="I654">
        <v>84</v>
      </c>
      <c r="J654" s="1">
        <v>-416.66666666666669</v>
      </c>
      <c r="K654">
        <v>-18</v>
      </c>
      <c r="L654">
        <v>12</v>
      </c>
      <c r="M654" s="1">
        <v>-416.66666666666669</v>
      </c>
      <c r="N654">
        <v>-16</v>
      </c>
      <c r="O654">
        <v>-4</v>
      </c>
      <c r="P654" s="12">
        <v>8</v>
      </c>
      <c r="Q654" s="1">
        <v>-416.66666666666669</v>
      </c>
      <c r="R654">
        <v>-76</v>
      </c>
      <c r="S654">
        <v>0</v>
      </c>
    </row>
    <row r="655" spans="1:19">
      <c r="A655" t="s">
        <v>51</v>
      </c>
      <c r="B655" s="1">
        <v>-416.66666666666669</v>
      </c>
      <c r="C655">
        <v>100</v>
      </c>
      <c r="D655">
        <v>112</v>
      </c>
      <c r="E655">
        <v>64</v>
      </c>
      <c r="F655">
        <v>168</v>
      </c>
      <c r="G655">
        <v>224</v>
      </c>
      <c r="H655">
        <v>0</v>
      </c>
      <c r="I655">
        <v>100</v>
      </c>
      <c r="J655" s="1">
        <v>-416.66666666666669</v>
      </c>
      <c r="K655">
        <v>-13</v>
      </c>
      <c r="L655">
        <v>17</v>
      </c>
      <c r="M655" s="1">
        <v>-416.66666666666669</v>
      </c>
      <c r="N655">
        <v>-18</v>
      </c>
      <c r="O655">
        <v>-3</v>
      </c>
      <c r="P655">
        <v>12</v>
      </c>
      <c r="Q655" s="1">
        <v>-416.66666666666669</v>
      </c>
      <c r="R655">
        <v>-72</v>
      </c>
      <c r="S655">
        <v>4</v>
      </c>
    </row>
    <row r="656" spans="1:19">
      <c r="A656" t="s">
        <v>51</v>
      </c>
      <c r="B656" s="1">
        <v>-416.66666666666669</v>
      </c>
      <c r="C656">
        <v>116</v>
      </c>
      <c r="D656">
        <v>88</v>
      </c>
      <c r="E656">
        <v>64</v>
      </c>
      <c r="F656">
        <v>140</v>
      </c>
      <c r="G656">
        <v>232</v>
      </c>
      <c r="H656">
        <v>0</v>
      </c>
      <c r="I656">
        <v>112</v>
      </c>
      <c r="J656" s="1">
        <v>-416.66666666666669</v>
      </c>
      <c r="K656">
        <v>-11</v>
      </c>
      <c r="L656">
        <v>19</v>
      </c>
      <c r="M656" s="1">
        <v>-416.66666666666669</v>
      </c>
      <c r="N656">
        <v>-16</v>
      </c>
      <c r="O656">
        <v>-1</v>
      </c>
      <c r="P656">
        <v>14</v>
      </c>
      <c r="Q656" s="1">
        <v>-416.66666666666669</v>
      </c>
      <c r="R656">
        <v>-68</v>
      </c>
      <c r="S656">
        <v>10</v>
      </c>
    </row>
    <row r="657" spans="1:19">
      <c r="A657" t="s">
        <v>51</v>
      </c>
      <c r="B657" s="1">
        <v>-416.66666666666669</v>
      </c>
      <c r="C657">
        <v>132</v>
      </c>
      <c r="D657">
        <v>76</v>
      </c>
      <c r="E657">
        <v>56</v>
      </c>
      <c r="F657">
        <v>120</v>
      </c>
      <c r="G657">
        <v>188</v>
      </c>
      <c r="H657">
        <v>8</v>
      </c>
      <c r="I657">
        <v>128</v>
      </c>
      <c r="J657" s="1">
        <v>-416.66666666666669</v>
      </c>
      <c r="K657">
        <v>-12</v>
      </c>
      <c r="L657">
        <v>18</v>
      </c>
      <c r="M657" s="1">
        <v>-416.66666666666669</v>
      </c>
      <c r="N657">
        <v>-16</v>
      </c>
      <c r="O657">
        <v>0</v>
      </c>
      <c r="P657">
        <v>16</v>
      </c>
      <c r="Q657" s="1">
        <v>-416.66666666666669</v>
      </c>
      <c r="R657">
        <v>-62</v>
      </c>
      <c r="S657">
        <v>14</v>
      </c>
    </row>
    <row r="658" spans="1:19">
      <c r="A658" t="s">
        <v>51</v>
      </c>
      <c r="B658" s="1">
        <v>-416.66666666666669</v>
      </c>
      <c r="C658">
        <v>152</v>
      </c>
      <c r="D658">
        <v>72</v>
      </c>
      <c r="E658">
        <v>56</v>
      </c>
      <c r="F658">
        <v>100</v>
      </c>
      <c r="G658">
        <v>160</v>
      </c>
      <c r="H658">
        <v>16</v>
      </c>
      <c r="I658">
        <v>144</v>
      </c>
      <c r="J658" s="1">
        <v>-416.66666666666669</v>
      </c>
      <c r="K658">
        <v>-12</v>
      </c>
      <c r="L658">
        <v>18</v>
      </c>
      <c r="M658" s="1">
        <v>-416.66666666666669</v>
      </c>
      <c r="N658">
        <v>-18</v>
      </c>
      <c r="O658">
        <v>-1</v>
      </c>
      <c r="P658">
        <v>16</v>
      </c>
      <c r="Q658" s="1">
        <v>-416.66666666666669</v>
      </c>
      <c r="R658">
        <v>-58</v>
      </c>
      <c r="S658">
        <v>20</v>
      </c>
    </row>
    <row r="659" spans="1:19">
      <c r="A659" t="s">
        <v>51</v>
      </c>
      <c r="B659" s="1">
        <v>-416.66666666666669</v>
      </c>
      <c r="C659">
        <v>176</v>
      </c>
      <c r="D659">
        <v>64</v>
      </c>
      <c r="E659">
        <v>72</v>
      </c>
      <c r="F659">
        <v>84</v>
      </c>
      <c r="G659">
        <v>148</v>
      </c>
      <c r="H659">
        <v>32</v>
      </c>
      <c r="I659">
        <v>168</v>
      </c>
      <c r="J659" s="1">
        <v>-416.66666666666669</v>
      </c>
      <c r="K659">
        <v>-14</v>
      </c>
      <c r="L659">
        <v>16</v>
      </c>
      <c r="M659" s="1">
        <v>-416.66666666666669</v>
      </c>
      <c r="N659">
        <v>-18</v>
      </c>
      <c r="O659">
        <v>1</v>
      </c>
      <c r="P659">
        <v>20</v>
      </c>
      <c r="Q659" s="1">
        <v>-416.66666666666669</v>
      </c>
      <c r="R659">
        <v>-52</v>
      </c>
      <c r="S659">
        <v>26</v>
      </c>
    </row>
    <row r="660" spans="1:19">
      <c r="A660" t="s">
        <v>51</v>
      </c>
      <c r="B660" s="1">
        <v>-416.66666666666669</v>
      </c>
      <c r="C660">
        <v>212</v>
      </c>
      <c r="D660">
        <v>56</v>
      </c>
      <c r="E660">
        <v>92</v>
      </c>
      <c r="F660">
        <v>64</v>
      </c>
      <c r="G660">
        <v>136</v>
      </c>
      <c r="H660">
        <v>44</v>
      </c>
      <c r="I660">
        <v>224</v>
      </c>
      <c r="J660" s="1">
        <v>-416.66666666666669</v>
      </c>
      <c r="K660">
        <v>-16</v>
      </c>
      <c r="L660">
        <v>14</v>
      </c>
      <c r="M660" s="1">
        <v>-416.66666666666669</v>
      </c>
      <c r="N660">
        <v>-18</v>
      </c>
      <c r="O660">
        <v>0</v>
      </c>
      <c r="P660">
        <v>18</v>
      </c>
      <c r="Q660" s="1">
        <v>-416.66666666666669</v>
      </c>
      <c r="R660">
        <v>-46</v>
      </c>
      <c r="S660">
        <v>32</v>
      </c>
    </row>
    <row r="661" spans="1:19">
      <c r="A661" t="s">
        <v>51</v>
      </c>
      <c r="B661" s="1">
        <v>-416.66666666666669</v>
      </c>
      <c r="C661">
        <v>252</v>
      </c>
      <c r="D661">
        <v>44</v>
      </c>
      <c r="E661">
        <v>112</v>
      </c>
      <c r="F661">
        <v>64</v>
      </c>
      <c r="G661">
        <v>116</v>
      </c>
      <c r="H661">
        <v>60</v>
      </c>
      <c r="I661">
        <v>288</v>
      </c>
      <c r="J661" s="1">
        <v>-416.66666666666669</v>
      </c>
      <c r="K661">
        <v>-18</v>
      </c>
      <c r="L661">
        <v>12</v>
      </c>
      <c r="M661" s="1">
        <v>-416.66666666666669</v>
      </c>
      <c r="N661">
        <v>-18</v>
      </c>
      <c r="O661">
        <v>1</v>
      </c>
      <c r="P661">
        <v>20</v>
      </c>
      <c r="Q661" s="1">
        <v>-416.66666666666669</v>
      </c>
      <c r="R661">
        <v>-40</v>
      </c>
      <c r="S661">
        <v>38</v>
      </c>
    </row>
    <row r="662" spans="1:19">
      <c r="A662" t="s">
        <v>51</v>
      </c>
      <c r="B662" s="1">
        <v>-416.66666666666669</v>
      </c>
      <c r="C662">
        <v>236</v>
      </c>
      <c r="D662">
        <v>48</v>
      </c>
      <c r="E662">
        <v>128</v>
      </c>
      <c r="F662">
        <v>64</v>
      </c>
      <c r="G662">
        <v>96</v>
      </c>
      <c r="H662">
        <v>76</v>
      </c>
      <c r="I662">
        <v>236</v>
      </c>
      <c r="J662" s="1">
        <v>-416.66666666666669</v>
      </c>
      <c r="K662">
        <v>-17</v>
      </c>
      <c r="L662">
        <v>13</v>
      </c>
      <c r="M662" s="1">
        <v>-416.66666666666669</v>
      </c>
      <c r="N662">
        <v>-20</v>
      </c>
      <c r="O662">
        <v>-1</v>
      </c>
      <c r="P662">
        <v>18</v>
      </c>
      <c r="Q662" s="1">
        <v>-416.66666666666669</v>
      </c>
      <c r="R662">
        <v>-34</v>
      </c>
      <c r="S662">
        <v>44</v>
      </c>
    </row>
    <row r="663" spans="1:19">
      <c r="A663" t="s">
        <v>51</v>
      </c>
      <c r="B663" s="1">
        <v>-416.66666666666669</v>
      </c>
      <c r="C663">
        <v>192</v>
      </c>
      <c r="D663">
        <v>52</v>
      </c>
      <c r="E663">
        <v>136</v>
      </c>
      <c r="F663">
        <v>68</v>
      </c>
      <c r="G663">
        <v>72</v>
      </c>
      <c r="H663">
        <v>88</v>
      </c>
      <c r="I663">
        <v>168</v>
      </c>
      <c r="J663" s="1">
        <v>-416.66666666666669</v>
      </c>
      <c r="K663">
        <v>-15</v>
      </c>
      <c r="L663">
        <v>15</v>
      </c>
      <c r="M663" s="1">
        <v>-416.66666666666669</v>
      </c>
      <c r="N663">
        <v>-20</v>
      </c>
      <c r="O663">
        <v>-2</v>
      </c>
      <c r="P663">
        <v>16</v>
      </c>
      <c r="Q663" s="1">
        <v>-416.66666666666669</v>
      </c>
      <c r="R663">
        <v>-28</v>
      </c>
      <c r="S663">
        <v>50</v>
      </c>
    </row>
    <row r="664" spans="1:19">
      <c r="A664" t="s">
        <v>51</v>
      </c>
      <c r="B664" s="1">
        <v>-416.66666666666669</v>
      </c>
      <c r="C664">
        <v>160</v>
      </c>
      <c r="D664">
        <v>56</v>
      </c>
      <c r="E664">
        <v>164</v>
      </c>
      <c r="F664">
        <v>88</v>
      </c>
      <c r="G664">
        <v>60</v>
      </c>
      <c r="H664">
        <v>100</v>
      </c>
      <c r="I664">
        <v>148</v>
      </c>
      <c r="J664" s="1">
        <v>-416.66666666666669</v>
      </c>
      <c r="K664">
        <v>-14</v>
      </c>
      <c r="L664">
        <v>16</v>
      </c>
      <c r="M664" s="1">
        <v>-416.66666666666669</v>
      </c>
      <c r="N664">
        <v>-20</v>
      </c>
      <c r="O664">
        <v>-1</v>
      </c>
      <c r="P664">
        <v>18</v>
      </c>
      <c r="Q664" s="1">
        <v>-416.66666666666669</v>
      </c>
      <c r="R664">
        <v>-22</v>
      </c>
      <c r="S664">
        <v>56</v>
      </c>
    </row>
    <row r="665" spans="1:19">
      <c r="A665" t="s">
        <v>51</v>
      </c>
      <c r="B665" s="1">
        <v>-416.66666666666669</v>
      </c>
      <c r="C665">
        <v>136</v>
      </c>
      <c r="D665">
        <v>72</v>
      </c>
      <c r="E665">
        <v>208</v>
      </c>
      <c r="F665">
        <v>108</v>
      </c>
      <c r="G665">
        <v>68</v>
      </c>
      <c r="H665">
        <v>116</v>
      </c>
      <c r="I665">
        <v>120</v>
      </c>
      <c r="J665" s="1">
        <v>-416.66666666666669</v>
      </c>
      <c r="K665">
        <v>-12</v>
      </c>
      <c r="L665">
        <v>18</v>
      </c>
      <c r="M665" s="1">
        <v>-416.66666666666669</v>
      </c>
      <c r="N665">
        <v>-22</v>
      </c>
      <c r="O665">
        <v>-2</v>
      </c>
      <c r="P665">
        <v>18</v>
      </c>
      <c r="Q665" s="1">
        <v>-416.66666666666669</v>
      </c>
      <c r="R665">
        <v>-14</v>
      </c>
      <c r="S665">
        <v>62</v>
      </c>
    </row>
    <row r="666" spans="1:19">
      <c r="A666" t="s">
        <v>51</v>
      </c>
      <c r="B666" s="1">
        <v>-416.66666666666669</v>
      </c>
      <c r="C666">
        <v>120</v>
      </c>
      <c r="D666">
        <v>88</v>
      </c>
      <c r="E666">
        <v>172</v>
      </c>
      <c r="F666">
        <v>128</v>
      </c>
      <c r="G666">
        <v>68</v>
      </c>
      <c r="H666">
        <v>144</v>
      </c>
      <c r="I666">
        <v>92</v>
      </c>
      <c r="J666" s="1">
        <v>-416.66666666666669</v>
      </c>
      <c r="K666">
        <v>-4</v>
      </c>
      <c r="L666">
        <v>4</v>
      </c>
      <c r="M666" s="1">
        <v>-416.66666666666669</v>
      </c>
      <c r="N666">
        <v>-20</v>
      </c>
      <c r="O666">
        <v>-1</v>
      </c>
      <c r="P666">
        <v>18</v>
      </c>
      <c r="Q666" s="1">
        <v>-416.66666666666669</v>
      </c>
      <c r="R666">
        <v>-8</v>
      </c>
      <c r="S666">
        <v>70</v>
      </c>
    </row>
    <row r="667" spans="1:19">
      <c r="A667" t="s">
        <v>51</v>
      </c>
      <c r="B667" s="1">
        <v>-416.66666666666669</v>
      </c>
      <c r="C667">
        <v>128</v>
      </c>
      <c r="D667">
        <v>108</v>
      </c>
      <c r="E667">
        <v>120</v>
      </c>
      <c r="F667">
        <v>152</v>
      </c>
      <c r="G667">
        <v>80</v>
      </c>
      <c r="H667">
        <v>164</v>
      </c>
      <c r="I667">
        <v>80</v>
      </c>
      <c r="J667" s="1">
        <v>-416.66666666666669</v>
      </c>
      <c r="K667">
        <v>-4</v>
      </c>
      <c r="L667">
        <v>4</v>
      </c>
      <c r="M667" s="1">
        <v>-416.66666666666669</v>
      </c>
      <c r="N667">
        <v>-16</v>
      </c>
      <c r="O667">
        <v>1</v>
      </c>
      <c r="P667">
        <v>18</v>
      </c>
      <c r="Q667" s="1">
        <v>-416.66666666666669</v>
      </c>
      <c r="R667">
        <v>-2</v>
      </c>
      <c r="S667">
        <v>76</v>
      </c>
    </row>
    <row r="668" spans="1:19">
      <c r="A668" t="s">
        <v>51</v>
      </c>
      <c r="B668" s="1">
        <v>-416.66666666666669</v>
      </c>
      <c r="C668">
        <v>120</v>
      </c>
      <c r="D668">
        <v>128</v>
      </c>
      <c r="E668">
        <v>104</v>
      </c>
      <c r="F668">
        <v>196</v>
      </c>
      <c r="G668">
        <v>96</v>
      </c>
      <c r="H668">
        <v>140</v>
      </c>
      <c r="I668">
        <v>84</v>
      </c>
      <c r="J668" s="1">
        <v>-416.66666666666669</v>
      </c>
      <c r="K668">
        <v>10</v>
      </c>
      <c r="L668">
        <v>0</v>
      </c>
      <c r="M668" s="1">
        <v>-416.66666666666669</v>
      </c>
      <c r="N668">
        <v>-12</v>
      </c>
      <c r="O668">
        <v>0</v>
      </c>
      <c r="P668">
        <v>12</v>
      </c>
      <c r="Q668" s="1">
        <v>-416.66666666666669</v>
      </c>
      <c r="R668">
        <v>2</v>
      </c>
      <c r="S668">
        <v>80</v>
      </c>
    </row>
    <row r="669" spans="1:19">
      <c r="A669" t="s">
        <v>51</v>
      </c>
      <c r="B669" s="1">
        <v>-416.66666666666669</v>
      </c>
      <c r="C669">
        <v>116</v>
      </c>
      <c r="D669">
        <v>148</v>
      </c>
      <c r="E669">
        <v>96</v>
      </c>
      <c r="F669">
        <v>220</v>
      </c>
      <c r="G669">
        <v>104</v>
      </c>
      <c r="H669">
        <v>116</v>
      </c>
      <c r="I669">
        <v>80</v>
      </c>
      <c r="J669" s="1">
        <v>-416.66666666666669</v>
      </c>
      <c r="K669">
        <v>10</v>
      </c>
      <c r="L669">
        <v>0</v>
      </c>
      <c r="M669" s="1">
        <v>-416.66666666666669</v>
      </c>
      <c r="N669">
        <v>-6</v>
      </c>
      <c r="O669">
        <v>1</v>
      </c>
      <c r="P669">
        <v>8</v>
      </c>
      <c r="Q669" s="1">
        <v>-416.66666666666669</v>
      </c>
      <c r="R669">
        <v>4</v>
      </c>
      <c r="S669">
        <v>84</v>
      </c>
    </row>
    <row r="670" spans="1:19">
      <c r="A670" t="s">
        <v>51</v>
      </c>
      <c r="B670" s="1">
        <v>-416.66666666666669</v>
      </c>
      <c r="C670">
        <v>116</v>
      </c>
      <c r="D670">
        <v>156</v>
      </c>
      <c r="E670">
        <v>96</v>
      </c>
      <c r="F670">
        <v>232</v>
      </c>
      <c r="G670">
        <v>112</v>
      </c>
      <c r="H670">
        <v>112</v>
      </c>
      <c r="I670">
        <v>80</v>
      </c>
      <c r="J670" s="1">
        <v>-416.66666666666669</v>
      </c>
      <c r="K670">
        <v>10</v>
      </c>
      <c r="L670">
        <v>0</v>
      </c>
      <c r="M670" s="1">
        <v>-416.66666666666669</v>
      </c>
      <c r="N670">
        <v>0</v>
      </c>
      <c r="O670">
        <v>2</v>
      </c>
      <c r="P670">
        <v>4</v>
      </c>
      <c r="Q670" s="1">
        <v>-416.66666666666669</v>
      </c>
      <c r="R670">
        <v>6</v>
      </c>
      <c r="S670">
        <v>84</v>
      </c>
    </row>
    <row r="671" spans="1:19">
      <c r="A671" t="s">
        <v>51</v>
      </c>
      <c r="B671" s="1">
        <v>-416.66666666666669</v>
      </c>
      <c r="C671">
        <v>120</v>
      </c>
      <c r="D671">
        <v>156</v>
      </c>
      <c r="E671">
        <v>100</v>
      </c>
      <c r="F671">
        <v>232</v>
      </c>
      <c r="G671">
        <v>112</v>
      </c>
      <c r="H671">
        <v>116</v>
      </c>
      <c r="I671">
        <v>80</v>
      </c>
      <c r="J671" s="1">
        <v>-416.66666666666669</v>
      </c>
      <c r="K671">
        <v>10</v>
      </c>
      <c r="L671">
        <v>0</v>
      </c>
      <c r="M671" s="1">
        <v>-416.66666666666669</v>
      </c>
      <c r="N671">
        <v>4</v>
      </c>
      <c r="O671">
        <v>4</v>
      </c>
      <c r="P671">
        <v>4</v>
      </c>
      <c r="Q671" s="1">
        <v>-416.66666666666669</v>
      </c>
      <c r="R671">
        <v>6</v>
      </c>
      <c r="S671">
        <v>84</v>
      </c>
    </row>
    <row r="672" spans="1:19">
      <c r="A672" t="s">
        <v>51</v>
      </c>
      <c r="B672" s="1">
        <v>-416.66666666666669</v>
      </c>
      <c r="C672">
        <v>124</v>
      </c>
      <c r="D672">
        <v>148</v>
      </c>
      <c r="E672">
        <v>100</v>
      </c>
      <c r="F672">
        <v>232</v>
      </c>
      <c r="G672">
        <v>112</v>
      </c>
      <c r="H672">
        <v>120</v>
      </c>
      <c r="I672">
        <v>84</v>
      </c>
      <c r="J672" s="1">
        <v>-416.66666666666669</v>
      </c>
      <c r="K672">
        <v>10</v>
      </c>
      <c r="L672">
        <v>0</v>
      </c>
      <c r="M672" s="1">
        <v>-416.66666666666669</v>
      </c>
      <c r="N672">
        <v>6</v>
      </c>
      <c r="O672">
        <v>3</v>
      </c>
      <c r="P672">
        <v>0</v>
      </c>
      <c r="Q672" s="1">
        <v>-416.66666666666669</v>
      </c>
      <c r="R672">
        <v>4</v>
      </c>
      <c r="S672">
        <v>84</v>
      </c>
    </row>
    <row r="673" spans="1:19">
      <c r="A673" t="s">
        <v>51</v>
      </c>
      <c r="B673" s="1">
        <v>-416.66666666666669</v>
      </c>
      <c r="C673">
        <v>128</v>
      </c>
      <c r="D673">
        <v>140</v>
      </c>
      <c r="E673">
        <v>108</v>
      </c>
      <c r="F673">
        <v>228</v>
      </c>
      <c r="G673">
        <v>108</v>
      </c>
      <c r="H673">
        <v>128</v>
      </c>
      <c r="I673">
        <v>84</v>
      </c>
      <c r="J673" s="1">
        <v>-416.66666666666669</v>
      </c>
      <c r="K673">
        <v>10</v>
      </c>
      <c r="L673">
        <v>0</v>
      </c>
      <c r="M673" s="1">
        <v>-416.66666666666669</v>
      </c>
      <c r="N673">
        <v>8</v>
      </c>
      <c r="O673">
        <v>5</v>
      </c>
      <c r="P673">
        <v>2</v>
      </c>
      <c r="Q673" s="1">
        <v>-416.66666666666669</v>
      </c>
      <c r="R673">
        <v>4</v>
      </c>
      <c r="S673">
        <v>82</v>
      </c>
    </row>
    <row r="674" spans="1:19">
      <c r="A674" t="s">
        <v>51</v>
      </c>
      <c r="B674" s="1">
        <v>-416.66666666666669</v>
      </c>
      <c r="C674">
        <v>132</v>
      </c>
      <c r="D674">
        <v>128</v>
      </c>
      <c r="E674">
        <v>112</v>
      </c>
      <c r="F674">
        <v>224</v>
      </c>
      <c r="G674">
        <v>108</v>
      </c>
      <c r="H674">
        <v>136</v>
      </c>
      <c r="I674">
        <v>84</v>
      </c>
      <c r="J674" s="1">
        <v>-416.66666666666669</v>
      </c>
      <c r="K674">
        <v>10</v>
      </c>
      <c r="L674">
        <v>0</v>
      </c>
      <c r="M674" s="1">
        <v>-416.66666666666669</v>
      </c>
      <c r="N674">
        <v>8</v>
      </c>
      <c r="O674">
        <v>4</v>
      </c>
      <c r="P674">
        <v>0</v>
      </c>
      <c r="Q674" s="1">
        <v>-416.66666666666669</v>
      </c>
      <c r="R674">
        <v>2</v>
      </c>
      <c r="S674">
        <v>82</v>
      </c>
    </row>
    <row r="675" spans="1:19">
      <c r="A675" t="s">
        <v>51</v>
      </c>
      <c r="B675" s="1">
        <v>-416.66666666666669</v>
      </c>
      <c r="C675">
        <v>136</v>
      </c>
      <c r="D675">
        <v>120</v>
      </c>
      <c r="E675">
        <v>120</v>
      </c>
      <c r="F675">
        <v>216</v>
      </c>
      <c r="G675">
        <v>104</v>
      </c>
      <c r="H675">
        <v>148</v>
      </c>
      <c r="I675">
        <v>88</v>
      </c>
      <c r="J675" s="1">
        <v>-416.66666666666669</v>
      </c>
      <c r="K675">
        <v>10</v>
      </c>
      <c r="L675">
        <v>0</v>
      </c>
      <c r="M675" s="1">
        <v>-416.66666666666669</v>
      </c>
      <c r="N675">
        <v>8</v>
      </c>
      <c r="O675">
        <v>4</v>
      </c>
      <c r="P675">
        <v>0</v>
      </c>
      <c r="Q675" s="1">
        <v>-416.66666666666669</v>
      </c>
      <c r="R675">
        <v>2</v>
      </c>
      <c r="S675">
        <v>80</v>
      </c>
    </row>
    <row r="676" spans="1:19">
      <c r="A676" t="s">
        <v>30</v>
      </c>
      <c r="B676" s="1">
        <v>-416.66666666666669</v>
      </c>
      <c r="C676">
        <v>140</v>
      </c>
      <c r="D676">
        <v>116</v>
      </c>
      <c r="E676">
        <v>128</v>
      </c>
      <c r="F676">
        <v>204</v>
      </c>
      <c r="G676">
        <v>104</v>
      </c>
      <c r="H676">
        <v>156</v>
      </c>
      <c r="I676">
        <v>92</v>
      </c>
      <c r="J676" s="1">
        <v>-416.66666666666669</v>
      </c>
      <c r="K676">
        <v>-10</v>
      </c>
      <c r="L676">
        <v>-10</v>
      </c>
      <c r="M676" s="1">
        <v>-416.66666666666669</v>
      </c>
      <c r="N676">
        <v>6</v>
      </c>
      <c r="O676">
        <v>3</v>
      </c>
      <c r="P676">
        <v>0</v>
      </c>
      <c r="Q676" s="1">
        <v>-416.66666666666669</v>
      </c>
      <c r="R676">
        <v>0</v>
      </c>
      <c r="S676">
        <v>80</v>
      </c>
    </row>
    <row r="677" spans="1:19">
      <c r="A677" t="s">
        <v>30</v>
      </c>
      <c r="B677" s="1">
        <v>-416.66666666666669</v>
      </c>
      <c r="C677">
        <v>144</v>
      </c>
      <c r="D677">
        <v>112</v>
      </c>
      <c r="E677">
        <v>132</v>
      </c>
      <c r="F677">
        <v>196</v>
      </c>
      <c r="G677">
        <v>100</v>
      </c>
      <c r="H677">
        <v>160</v>
      </c>
      <c r="I677">
        <v>84</v>
      </c>
      <c r="J677" s="1">
        <v>-416.66666666666669</v>
      </c>
      <c r="K677">
        <v>-10</v>
      </c>
      <c r="L677">
        <v>-10</v>
      </c>
      <c r="M677" s="1">
        <v>-416.66666666666669</v>
      </c>
      <c r="N677">
        <v>0</v>
      </c>
      <c r="O677">
        <v>-2</v>
      </c>
      <c r="P677">
        <v>-4</v>
      </c>
      <c r="Q677" s="1">
        <v>-416.66666666666669</v>
      </c>
      <c r="R677">
        <v>0</v>
      </c>
      <c r="S677">
        <v>78</v>
      </c>
    </row>
    <row r="678" spans="1:19">
      <c r="A678" t="s">
        <v>30</v>
      </c>
      <c r="B678" s="1">
        <v>-416.66666666666669</v>
      </c>
      <c r="C678">
        <v>144</v>
      </c>
      <c r="D678">
        <v>112</v>
      </c>
      <c r="E678">
        <v>132</v>
      </c>
      <c r="F678">
        <v>192</v>
      </c>
      <c r="G678">
        <v>100</v>
      </c>
      <c r="H678">
        <v>160</v>
      </c>
      <c r="I678">
        <v>92</v>
      </c>
      <c r="J678" s="1">
        <v>-416.66666666666669</v>
      </c>
      <c r="K678">
        <v>-10</v>
      </c>
      <c r="L678">
        <v>-10</v>
      </c>
      <c r="M678" s="1">
        <v>-416.66666666666669</v>
      </c>
      <c r="N678">
        <v>-4</v>
      </c>
      <c r="O678">
        <v>-4</v>
      </c>
      <c r="P678">
        <v>-4</v>
      </c>
      <c r="Q678" s="1">
        <v>-416.66666666666669</v>
      </c>
      <c r="R678">
        <v>-2</v>
      </c>
      <c r="S678">
        <v>78</v>
      </c>
    </row>
    <row r="679" spans="1:19">
      <c r="A679" t="s">
        <v>30</v>
      </c>
      <c r="B679" s="1">
        <v>-416.66666666666669</v>
      </c>
      <c r="C679">
        <v>140</v>
      </c>
      <c r="D679">
        <v>112</v>
      </c>
      <c r="E679">
        <v>128</v>
      </c>
      <c r="F679">
        <v>188</v>
      </c>
      <c r="G679">
        <v>96</v>
      </c>
      <c r="H679">
        <v>156</v>
      </c>
      <c r="I679">
        <v>88</v>
      </c>
      <c r="J679" s="1">
        <v>-416.66666666666669</v>
      </c>
      <c r="K679">
        <v>-10</v>
      </c>
      <c r="L679">
        <v>-10</v>
      </c>
      <c r="M679" s="1">
        <v>-416.66666666666669</v>
      </c>
      <c r="N679">
        <v>-6</v>
      </c>
      <c r="O679">
        <v>-5</v>
      </c>
      <c r="P679">
        <v>-4</v>
      </c>
      <c r="Q679" s="1">
        <v>-416.66666666666669</v>
      </c>
      <c r="R679">
        <v>-2</v>
      </c>
      <c r="S679">
        <v>78</v>
      </c>
    </row>
    <row r="680" spans="1:19">
      <c r="A680" t="s">
        <v>30</v>
      </c>
      <c r="B680" s="1">
        <v>-416.66666666666669</v>
      </c>
      <c r="C680">
        <v>140</v>
      </c>
      <c r="D680">
        <v>116</v>
      </c>
      <c r="E680">
        <v>124</v>
      </c>
      <c r="F680">
        <v>184</v>
      </c>
      <c r="G680">
        <v>96</v>
      </c>
      <c r="H680">
        <v>156</v>
      </c>
      <c r="I680">
        <v>88</v>
      </c>
      <c r="J680" s="1">
        <v>-416.66666666666669</v>
      </c>
      <c r="K680">
        <v>-10</v>
      </c>
      <c r="L680">
        <v>-10</v>
      </c>
      <c r="M680" s="1">
        <v>-416.66666666666669</v>
      </c>
      <c r="N680">
        <v>-8</v>
      </c>
      <c r="O680">
        <v>-8</v>
      </c>
      <c r="P680">
        <v>-8</v>
      </c>
      <c r="Q680" s="1">
        <v>-416.66666666666669</v>
      </c>
      <c r="R680">
        <v>0</v>
      </c>
      <c r="S680">
        <v>78</v>
      </c>
    </row>
    <row r="681" spans="1:19">
      <c r="A681" t="s">
        <v>30</v>
      </c>
      <c r="B681" s="1">
        <v>-416.66666666666669</v>
      </c>
      <c r="C681">
        <v>136</v>
      </c>
      <c r="D681">
        <v>116</v>
      </c>
      <c r="E681">
        <v>116</v>
      </c>
      <c r="F681">
        <v>176</v>
      </c>
      <c r="G681">
        <v>92</v>
      </c>
      <c r="H681">
        <v>152</v>
      </c>
      <c r="I681">
        <v>88</v>
      </c>
      <c r="J681" s="1">
        <v>-416.66666666666669</v>
      </c>
      <c r="K681">
        <v>-10</v>
      </c>
      <c r="L681">
        <v>-5</v>
      </c>
      <c r="M681" s="1">
        <v>-416.66666666666669</v>
      </c>
      <c r="N681">
        <v>-8</v>
      </c>
      <c r="O681">
        <v>-7</v>
      </c>
      <c r="P681">
        <v>-6</v>
      </c>
      <c r="Q681" s="1">
        <v>-416.66666666666669</v>
      </c>
      <c r="R681">
        <v>0</v>
      </c>
      <c r="S681">
        <v>78</v>
      </c>
    </row>
    <row r="682" spans="1:19">
      <c r="A682" t="s">
        <v>30</v>
      </c>
      <c r="B682" s="1">
        <v>-416.66666666666669</v>
      </c>
      <c r="C682">
        <v>128</v>
      </c>
      <c r="D682">
        <v>120</v>
      </c>
      <c r="E682">
        <v>108</v>
      </c>
      <c r="F682">
        <v>172</v>
      </c>
      <c r="G682">
        <v>88</v>
      </c>
      <c r="H682">
        <v>152</v>
      </c>
      <c r="I682">
        <v>80</v>
      </c>
      <c r="J682" s="1">
        <v>-416.66666666666669</v>
      </c>
      <c r="K682">
        <v>13</v>
      </c>
      <c r="L682">
        <v>7</v>
      </c>
      <c r="M682" s="1">
        <v>-416.66666666666669</v>
      </c>
      <c r="N682">
        <v>-10</v>
      </c>
      <c r="O682">
        <v>-9</v>
      </c>
      <c r="P682">
        <v>-8</v>
      </c>
      <c r="Q682" s="1">
        <v>-416.66666666666669</v>
      </c>
      <c r="R682">
        <v>0</v>
      </c>
      <c r="S682">
        <v>80</v>
      </c>
    </row>
    <row r="683" spans="1:19">
      <c r="A683" t="s">
        <v>30</v>
      </c>
      <c r="B683" s="1">
        <v>-416.66666666666669</v>
      </c>
      <c r="C683">
        <v>120</v>
      </c>
      <c r="D683">
        <v>120</v>
      </c>
      <c r="E683">
        <v>104</v>
      </c>
      <c r="F683">
        <v>168</v>
      </c>
      <c r="G683">
        <v>84</v>
      </c>
      <c r="H683">
        <v>148</v>
      </c>
      <c r="I683">
        <v>80</v>
      </c>
      <c r="J683" s="1">
        <v>-416.66666666666669</v>
      </c>
      <c r="K683">
        <v>-10</v>
      </c>
      <c r="L683">
        <v>-5</v>
      </c>
      <c r="M683" s="1">
        <v>-416.66666666666669</v>
      </c>
      <c r="N683">
        <v>-4</v>
      </c>
      <c r="O683">
        <v>-4</v>
      </c>
      <c r="P683">
        <v>-4</v>
      </c>
      <c r="Q683" s="1">
        <v>-416.66666666666669</v>
      </c>
      <c r="R683">
        <v>0</v>
      </c>
      <c r="S683">
        <v>80</v>
      </c>
    </row>
    <row r="684" spans="1:19">
      <c r="A684" t="s">
        <v>30</v>
      </c>
      <c r="B684" s="1">
        <v>-416.66666666666669</v>
      </c>
      <c r="C684">
        <v>116</v>
      </c>
      <c r="D684">
        <v>120</v>
      </c>
      <c r="E684">
        <v>104</v>
      </c>
      <c r="F684">
        <v>168</v>
      </c>
      <c r="G684">
        <v>84</v>
      </c>
      <c r="H684">
        <v>148</v>
      </c>
      <c r="I684">
        <v>76</v>
      </c>
      <c r="J684" s="1">
        <v>-416.66666666666669</v>
      </c>
      <c r="K684">
        <v>10</v>
      </c>
      <c r="L684">
        <v>10</v>
      </c>
      <c r="M684" s="1">
        <v>-416.66666666666669</v>
      </c>
      <c r="N684">
        <v>0</v>
      </c>
      <c r="O684">
        <v>0</v>
      </c>
      <c r="P684">
        <v>0</v>
      </c>
      <c r="Q684" s="1">
        <v>-416.66666666666669</v>
      </c>
      <c r="R684">
        <v>0</v>
      </c>
      <c r="S684">
        <v>80</v>
      </c>
    </row>
    <row r="685" spans="1:19">
      <c r="A685" t="s">
        <v>30</v>
      </c>
      <c r="B685" s="1">
        <v>-416.66666666666669</v>
      </c>
      <c r="C685">
        <v>116</v>
      </c>
      <c r="D685">
        <v>120</v>
      </c>
      <c r="E685">
        <v>104</v>
      </c>
      <c r="F685">
        <v>168</v>
      </c>
      <c r="G685">
        <v>88</v>
      </c>
      <c r="H685">
        <v>148</v>
      </c>
      <c r="I685">
        <v>80</v>
      </c>
      <c r="J685" s="1">
        <v>-416.66666666666669</v>
      </c>
      <c r="K685">
        <v>10</v>
      </c>
      <c r="L685">
        <v>10</v>
      </c>
      <c r="M685" s="1">
        <v>-416.66666666666669</v>
      </c>
      <c r="N685">
        <v>0</v>
      </c>
      <c r="O685">
        <v>0</v>
      </c>
      <c r="P685">
        <v>0</v>
      </c>
      <c r="Q685" s="1">
        <v>-416.66666666666669</v>
      </c>
      <c r="R685">
        <v>0</v>
      </c>
      <c r="S685">
        <v>80</v>
      </c>
    </row>
    <row r="686" spans="1:19">
      <c r="A686" t="s">
        <v>30</v>
      </c>
      <c r="B686" s="1">
        <v>-416.66666666666669</v>
      </c>
      <c r="C686">
        <v>120</v>
      </c>
      <c r="D686">
        <v>120</v>
      </c>
      <c r="E686">
        <v>108</v>
      </c>
      <c r="F686">
        <v>172</v>
      </c>
      <c r="G686">
        <v>88</v>
      </c>
      <c r="H686">
        <v>148</v>
      </c>
      <c r="I686">
        <v>80</v>
      </c>
      <c r="J686" s="1">
        <v>-416.66666666666669</v>
      </c>
      <c r="K686">
        <v>10</v>
      </c>
      <c r="L686">
        <v>10</v>
      </c>
      <c r="M686" s="1">
        <v>-416.66666666666669</v>
      </c>
      <c r="N686">
        <v>4</v>
      </c>
      <c r="O686">
        <v>4</v>
      </c>
      <c r="P686">
        <v>4</v>
      </c>
      <c r="Q686" s="1">
        <v>-416.66666666666669</v>
      </c>
      <c r="R686">
        <v>0</v>
      </c>
      <c r="S686">
        <v>80</v>
      </c>
    </row>
    <row r="687" spans="1:19">
      <c r="A687" t="s">
        <v>30</v>
      </c>
      <c r="B687" s="1">
        <v>-416.66666666666669</v>
      </c>
      <c r="C687">
        <v>120</v>
      </c>
      <c r="D687">
        <v>120</v>
      </c>
      <c r="E687">
        <v>108</v>
      </c>
      <c r="F687">
        <v>180</v>
      </c>
      <c r="G687">
        <v>92</v>
      </c>
      <c r="H687">
        <v>148</v>
      </c>
      <c r="I687">
        <v>76</v>
      </c>
      <c r="J687" s="1">
        <v>-416.66666666666669</v>
      </c>
      <c r="K687">
        <v>10</v>
      </c>
      <c r="L687">
        <v>10</v>
      </c>
      <c r="M687" s="1">
        <v>-416.66666666666669</v>
      </c>
      <c r="N687">
        <v>4</v>
      </c>
      <c r="O687">
        <v>4</v>
      </c>
      <c r="P687">
        <v>4</v>
      </c>
      <c r="Q687" s="1">
        <v>-416.66666666666669</v>
      </c>
      <c r="R687">
        <v>0</v>
      </c>
      <c r="S687">
        <v>80</v>
      </c>
    </row>
    <row r="688" spans="1:19">
      <c r="A688" t="s">
        <v>30</v>
      </c>
      <c r="B688" s="1">
        <v>-416.66666666666669</v>
      </c>
      <c r="C688">
        <v>128</v>
      </c>
      <c r="D688">
        <v>120</v>
      </c>
      <c r="E688">
        <v>112</v>
      </c>
      <c r="F688">
        <v>188</v>
      </c>
      <c r="G688">
        <v>92</v>
      </c>
      <c r="H688">
        <v>148</v>
      </c>
      <c r="I688">
        <v>80</v>
      </c>
      <c r="J688" s="1">
        <v>-416.66666666666669</v>
      </c>
      <c r="K688">
        <v>10</v>
      </c>
      <c r="L688">
        <v>10</v>
      </c>
      <c r="M688" s="1">
        <v>-416.66666666666669</v>
      </c>
      <c r="N688">
        <v>8</v>
      </c>
      <c r="O688">
        <v>8</v>
      </c>
      <c r="P688">
        <v>8</v>
      </c>
      <c r="Q688" s="1">
        <v>-416.66666666666669</v>
      </c>
      <c r="R688">
        <v>0</v>
      </c>
      <c r="S688">
        <v>80</v>
      </c>
    </row>
    <row r="689" spans="1:19">
      <c r="A689" t="s">
        <v>30</v>
      </c>
      <c r="B689" s="1">
        <v>-416.66666666666669</v>
      </c>
      <c r="C689">
        <v>132</v>
      </c>
      <c r="D689">
        <v>120</v>
      </c>
      <c r="E689">
        <v>120</v>
      </c>
      <c r="F689">
        <v>196</v>
      </c>
      <c r="G689">
        <v>100</v>
      </c>
      <c r="H689">
        <v>148</v>
      </c>
      <c r="I689">
        <v>84</v>
      </c>
      <c r="J689" s="1">
        <v>-416.66666666666669</v>
      </c>
      <c r="K689">
        <v>10</v>
      </c>
      <c r="L689">
        <v>10</v>
      </c>
      <c r="M689" s="1">
        <v>-416.66666666666669</v>
      </c>
      <c r="N689">
        <v>10</v>
      </c>
      <c r="O689">
        <v>10</v>
      </c>
      <c r="P689">
        <v>10</v>
      </c>
      <c r="Q689" s="1">
        <v>-416.66666666666669</v>
      </c>
      <c r="R689">
        <v>0</v>
      </c>
      <c r="S689">
        <v>80</v>
      </c>
    </row>
    <row r="690" spans="1:19">
      <c r="A690" t="s">
        <v>30</v>
      </c>
      <c r="B690" s="1">
        <v>-416.66666666666669</v>
      </c>
      <c r="C690">
        <v>140</v>
      </c>
      <c r="D690">
        <v>120</v>
      </c>
      <c r="E690">
        <v>124</v>
      </c>
      <c r="F690">
        <v>208</v>
      </c>
      <c r="G690">
        <v>104</v>
      </c>
      <c r="H690">
        <v>152</v>
      </c>
      <c r="I690">
        <v>84</v>
      </c>
      <c r="J690" s="1">
        <v>-416.66666666666669</v>
      </c>
      <c r="K690">
        <v>-10</v>
      </c>
      <c r="L690">
        <v>-5</v>
      </c>
      <c r="M690" s="1">
        <v>-416.66666666666669</v>
      </c>
      <c r="N690">
        <v>8</v>
      </c>
      <c r="O690">
        <v>8</v>
      </c>
      <c r="P690">
        <v>8</v>
      </c>
      <c r="Q690" s="1">
        <v>-416.66666666666669</v>
      </c>
      <c r="R690">
        <v>0</v>
      </c>
      <c r="S690">
        <v>80</v>
      </c>
    </row>
    <row r="691" spans="1:19">
      <c r="A691" t="s">
        <v>30</v>
      </c>
      <c r="B691" s="1">
        <v>-416.66666666666669</v>
      </c>
      <c r="C691">
        <v>144</v>
      </c>
      <c r="D691">
        <v>120</v>
      </c>
      <c r="E691">
        <v>128</v>
      </c>
      <c r="F691">
        <v>220</v>
      </c>
      <c r="G691">
        <v>108</v>
      </c>
      <c r="H691">
        <v>152</v>
      </c>
      <c r="I691">
        <v>88</v>
      </c>
      <c r="J691" s="1">
        <v>-416.66666666666669</v>
      </c>
      <c r="K691">
        <v>11</v>
      </c>
      <c r="L691">
        <v>9</v>
      </c>
      <c r="M691" s="1">
        <v>-416.66666666666669</v>
      </c>
      <c r="N691">
        <v>4</v>
      </c>
      <c r="O691">
        <v>5</v>
      </c>
      <c r="P691">
        <v>6</v>
      </c>
      <c r="Q691" s="1">
        <v>-416.66666666666669</v>
      </c>
      <c r="R691">
        <v>0</v>
      </c>
      <c r="S691">
        <v>80</v>
      </c>
    </row>
    <row r="692" spans="1:19">
      <c r="A692" t="s">
        <v>30</v>
      </c>
      <c r="B692" s="1">
        <v>-416.66666666666669</v>
      </c>
      <c r="C692">
        <v>144</v>
      </c>
      <c r="D692">
        <v>120</v>
      </c>
      <c r="E692">
        <v>132</v>
      </c>
      <c r="F692">
        <v>228</v>
      </c>
      <c r="G692">
        <v>112</v>
      </c>
      <c r="H692">
        <v>152</v>
      </c>
      <c r="I692">
        <v>88</v>
      </c>
      <c r="J692" s="1">
        <v>-416.66666666666669</v>
      </c>
      <c r="K692">
        <v>10</v>
      </c>
      <c r="L692">
        <v>10</v>
      </c>
      <c r="M692" s="1">
        <v>-416.66666666666669</v>
      </c>
      <c r="N692">
        <v>8</v>
      </c>
      <c r="O692">
        <v>8</v>
      </c>
      <c r="P692">
        <v>8</v>
      </c>
      <c r="Q692" s="1">
        <v>-416.66666666666669</v>
      </c>
      <c r="R692">
        <v>0</v>
      </c>
      <c r="S692">
        <v>80</v>
      </c>
    </row>
    <row r="693" spans="1:19">
      <c r="A693" t="s">
        <v>68</v>
      </c>
      <c r="B693" s="1">
        <v>-416.66666666666669</v>
      </c>
      <c r="C693">
        <v>148</v>
      </c>
      <c r="D693">
        <v>120</v>
      </c>
      <c r="E693">
        <v>136</v>
      </c>
      <c r="F693">
        <v>240</v>
      </c>
      <c r="G693">
        <v>116</v>
      </c>
      <c r="H693">
        <v>152</v>
      </c>
      <c r="I693">
        <v>92</v>
      </c>
      <c r="J693" s="1">
        <v>-416.66666666666669</v>
      </c>
      <c r="K693">
        <v>0</v>
      </c>
      <c r="L693">
        <v>0</v>
      </c>
      <c r="M693" s="1">
        <v>-416.66666666666669</v>
      </c>
      <c r="N693">
        <v>8</v>
      </c>
      <c r="O693">
        <v>8</v>
      </c>
      <c r="P693">
        <v>8</v>
      </c>
      <c r="Q693" s="1">
        <v>-416.66666666666669</v>
      </c>
      <c r="R693">
        <v>0</v>
      </c>
      <c r="S693">
        <v>80</v>
      </c>
    </row>
    <row r="694" spans="1:19">
      <c r="A694" t="s">
        <v>68</v>
      </c>
      <c r="B694" s="1">
        <v>-416.66666666666669</v>
      </c>
      <c r="C694">
        <v>152</v>
      </c>
      <c r="D694">
        <v>120</v>
      </c>
      <c r="E694">
        <v>144</v>
      </c>
      <c r="F694">
        <v>248</v>
      </c>
      <c r="G694">
        <v>124</v>
      </c>
      <c r="H694">
        <v>152</v>
      </c>
      <c r="I694">
        <v>92</v>
      </c>
      <c r="J694" s="1">
        <v>-416.66666666666669</v>
      </c>
      <c r="K694">
        <v>0</v>
      </c>
      <c r="L694">
        <v>0</v>
      </c>
      <c r="M694" s="1">
        <v>-416.66666666666669</v>
      </c>
      <c r="N694">
        <v>6</v>
      </c>
      <c r="O694">
        <v>6</v>
      </c>
      <c r="P694">
        <v>6</v>
      </c>
      <c r="Q694" s="1">
        <v>-416.66666666666669</v>
      </c>
      <c r="R694">
        <v>0</v>
      </c>
      <c r="S694">
        <v>80</v>
      </c>
    </row>
    <row r="695" spans="1:19">
      <c r="A695" t="s">
        <v>68</v>
      </c>
      <c r="B695" s="1">
        <v>-416.66666666666669</v>
      </c>
      <c r="C695">
        <v>152</v>
      </c>
      <c r="D695">
        <v>116</v>
      </c>
      <c r="E695">
        <v>148</v>
      </c>
      <c r="F695">
        <v>256</v>
      </c>
      <c r="G695">
        <v>124</v>
      </c>
      <c r="H695">
        <v>152</v>
      </c>
      <c r="I695">
        <v>96</v>
      </c>
      <c r="J695" s="1">
        <v>-416.66666666666669</v>
      </c>
      <c r="K695">
        <v>0</v>
      </c>
      <c r="L695">
        <v>0</v>
      </c>
      <c r="M695" s="1">
        <v>-416.66666666666669</v>
      </c>
      <c r="N695">
        <v>4</v>
      </c>
      <c r="O695">
        <v>5</v>
      </c>
      <c r="P695">
        <v>6</v>
      </c>
      <c r="Q695" s="1">
        <v>-416.66666666666669</v>
      </c>
      <c r="R695">
        <v>0</v>
      </c>
      <c r="S695">
        <v>80</v>
      </c>
    </row>
    <row r="696" spans="1:19">
      <c r="A696" t="s">
        <v>68</v>
      </c>
      <c r="B696" s="1">
        <v>-416.66666666666669</v>
      </c>
      <c r="C696">
        <v>156</v>
      </c>
      <c r="D696">
        <v>116</v>
      </c>
      <c r="E696">
        <v>152</v>
      </c>
      <c r="F696">
        <v>260</v>
      </c>
      <c r="G696">
        <v>128</v>
      </c>
      <c r="H696">
        <v>152</v>
      </c>
      <c r="I696">
        <v>96</v>
      </c>
      <c r="J696" s="1">
        <v>-416.66666666666669</v>
      </c>
      <c r="K696">
        <v>0</v>
      </c>
      <c r="L696">
        <v>0</v>
      </c>
      <c r="M696" s="1">
        <v>-416.66666666666669</v>
      </c>
      <c r="N696">
        <v>4</v>
      </c>
      <c r="O696">
        <v>4</v>
      </c>
      <c r="P696">
        <v>4</v>
      </c>
      <c r="Q696" s="1">
        <v>-416.66666666666669</v>
      </c>
      <c r="R696">
        <v>0</v>
      </c>
      <c r="S696">
        <v>80</v>
      </c>
    </row>
    <row r="697" spans="1:19">
      <c r="A697" t="s">
        <v>68</v>
      </c>
      <c r="B697" s="1">
        <v>-416.66666666666669</v>
      </c>
      <c r="C697">
        <v>156</v>
      </c>
      <c r="D697">
        <v>116</v>
      </c>
      <c r="E697">
        <v>152</v>
      </c>
      <c r="F697">
        <v>264</v>
      </c>
      <c r="G697">
        <v>128</v>
      </c>
      <c r="H697">
        <v>152</v>
      </c>
      <c r="I697">
        <v>100</v>
      </c>
      <c r="J697" s="1">
        <v>-416.66666666666669</v>
      </c>
      <c r="K697">
        <v>0</v>
      </c>
      <c r="L697">
        <v>0</v>
      </c>
      <c r="M697" s="1">
        <v>-416.66666666666669</v>
      </c>
      <c r="N697">
        <v>2</v>
      </c>
      <c r="O697">
        <v>2</v>
      </c>
      <c r="P697">
        <v>2</v>
      </c>
      <c r="Q697" s="1">
        <v>-416.66666666666669</v>
      </c>
      <c r="R697">
        <v>0</v>
      </c>
      <c r="S697">
        <v>80</v>
      </c>
    </row>
    <row r="698" spans="1:19">
      <c r="A698" t="s">
        <v>68</v>
      </c>
      <c r="B698" s="1">
        <v>-416.66666666666669</v>
      </c>
      <c r="C698">
        <v>156</v>
      </c>
      <c r="D698">
        <v>116</v>
      </c>
      <c r="E698">
        <v>156</v>
      </c>
      <c r="F698">
        <v>264</v>
      </c>
      <c r="G698">
        <v>132</v>
      </c>
      <c r="H698">
        <v>152</v>
      </c>
      <c r="I698">
        <v>100</v>
      </c>
      <c r="J698" s="1">
        <v>-416.66666666666669</v>
      </c>
      <c r="K698">
        <v>0</v>
      </c>
      <c r="L698">
        <v>0</v>
      </c>
      <c r="M698" s="1">
        <v>-416.66666666666669</v>
      </c>
      <c r="N698">
        <v>2</v>
      </c>
      <c r="O698">
        <v>2</v>
      </c>
      <c r="P698">
        <v>2</v>
      </c>
      <c r="Q698" s="1">
        <v>-416.66666666666669</v>
      </c>
      <c r="R698">
        <v>0</v>
      </c>
      <c r="S698">
        <v>80</v>
      </c>
    </row>
    <row r="699" spans="1:19">
      <c r="A699" t="s">
        <v>68</v>
      </c>
      <c r="B699" s="1">
        <v>-416.66666666666669</v>
      </c>
      <c r="C699">
        <v>156</v>
      </c>
      <c r="D699">
        <v>116</v>
      </c>
      <c r="E699">
        <v>156</v>
      </c>
      <c r="F699">
        <v>264</v>
      </c>
      <c r="G699">
        <v>132</v>
      </c>
      <c r="H699">
        <v>152</v>
      </c>
      <c r="I699">
        <v>100</v>
      </c>
      <c r="J699" s="1">
        <v>-416.66666666666669</v>
      </c>
      <c r="K699">
        <v>0</v>
      </c>
      <c r="L699">
        <v>0</v>
      </c>
      <c r="M699" s="1">
        <v>-416.66666666666669</v>
      </c>
      <c r="N699">
        <v>0</v>
      </c>
      <c r="O699">
        <v>0</v>
      </c>
      <c r="P699">
        <v>0</v>
      </c>
      <c r="Q699" s="1">
        <v>-416.66666666666669</v>
      </c>
      <c r="R699">
        <v>0</v>
      </c>
      <c r="S699">
        <v>80</v>
      </c>
    </row>
    <row r="700" spans="1:19">
      <c r="A700" t="s">
        <v>68</v>
      </c>
      <c r="B700" s="1">
        <v>-416.66666666666669</v>
      </c>
      <c r="C700">
        <v>156</v>
      </c>
      <c r="D700">
        <v>116</v>
      </c>
      <c r="E700">
        <v>156</v>
      </c>
      <c r="F700">
        <v>264</v>
      </c>
      <c r="G700">
        <v>132</v>
      </c>
      <c r="H700">
        <v>152</v>
      </c>
      <c r="I700">
        <v>100</v>
      </c>
      <c r="J700" s="1">
        <v>-416.66666666666669</v>
      </c>
      <c r="K700">
        <v>0</v>
      </c>
      <c r="L700">
        <v>0</v>
      </c>
      <c r="M700" s="1">
        <v>-416.66666666666669</v>
      </c>
      <c r="N700">
        <v>0</v>
      </c>
      <c r="O700">
        <v>0</v>
      </c>
      <c r="P700">
        <v>0</v>
      </c>
      <c r="Q700" s="1">
        <v>-416.66666666666669</v>
      </c>
      <c r="R700">
        <v>0</v>
      </c>
      <c r="S700">
        <v>80</v>
      </c>
    </row>
    <row r="701" spans="1:19">
      <c r="A701" t="s">
        <v>68</v>
      </c>
      <c r="B701" s="1">
        <v>-416.66666666666669</v>
      </c>
      <c r="C701">
        <v>156</v>
      </c>
      <c r="D701">
        <v>116</v>
      </c>
      <c r="E701">
        <v>156</v>
      </c>
      <c r="F701">
        <v>268</v>
      </c>
      <c r="G701">
        <v>132</v>
      </c>
      <c r="H701">
        <v>152</v>
      </c>
      <c r="I701">
        <v>100</v>
      </c>
      <c r="J701" s="1">
        <v>-416.66666666666669</v>
      </c>
      <c r="K701">
        <v>0</v>
      </c>
      <c r="L701">
        <v>0</v>
      </c>
      <c r="M701" s="1">
        <v>-416.66666666666669</v>
      </c>
      <c r="N701">
        <v>0</v>
      </c>
      <c r="O701">
        <v>0</v>
      </c>
      <c r="P701">
        <v>0</v>
      </c>
      <c r="Q701" s="1">
        <v>-416.66666666666669</v>
      </c>
      <c r="R701">
        <v>0</v>
      </c>
      <c r="S701">
        <v>80</v>
      </c>
    </row>
    <row r="702" spans="1:19">
      <c r="A702" t="s">
        <v>68</v>
      </c>
      <c r="B702" s="1">
        <v>-416.66666666666669</v>
      </c>
      <c r="C702">
        <v>156</v>
      </c>
      <c r="D702">
        <v>116</v>
      </c>
      <c r="E702">
        <v>156</v>
      </c>
      <c r="F702">
        <v>268</v>
      </c>
      <c r="G702">
        <v>132</v>
      </c>
      <c r="H702">
        <v>152</v>
      </c>
      <c r="I702">
        <v>100</v>
      </c>
      <c r="J702" s="1">
        <v>-416.66666666666669</v>
      </c>
      <c r="K702">
        <v>0</v>
      </c>
      <c r="L702">
        <v>0</v>
      </c>
      <c r="M702" s="1">
        <v>-416.66666666666669</v>
      </c>
      <c r="N702">
        <v>-2</v>
      </c>
      <c r="O702">
        <v>-1</v>
      </c>
      <c r="P702">
        <v>0</v>
      </c>
      <c r="Q702" s="1">
        <v>-416.66666666666669</v>
      </c>
      <c r="R702">
        <v>0</v>
      </c>
      <c r="S702">
        <v>80</v>
      </c>
    </row>
    <row r="703" spans="1:19">
      <c r="A703" t="s">
        <v>68</v>
      </c>
      <c r="B703" s="1">
        <v>-416.66666666666669</v>
      </c>
      <c r="C703">
        <v>160</v>
      </c>
      <c r="D703">
        <v>116</v>
      </c>
      <c r="E703">
        <v>156</v>
      </c>
      <c r="F703">
        <v>268</v>
      </c>
      <c r="G703">
        <v>132</v>
      </c>
      <c r="H703">
        <v>152</v>
      </c>
      <c r="I703">
        <v>100</v>
      </c>
      <c r="J703" s="1">
        <v>-416.66666666666669</v>
      </c>
      <c r="K703">
        <v>0</v>
      </c>
      <c r="L703">
        <v>0</v>
      </c>
      <c r="M703" s="1">
        <v>-416.66666666666669</v>
      </c>
      <c r="N703">
        <v>0</v>
      </c>
      <c r="O703">
        <v>0</v>
      </c>
      <c r="P703">
        <v>0</v>
      </c>
      <c r="Q703" s="1">
        <v>-416.66666666666669</v>
      </c>
      <c r="R703">
        <v>0</v>
      </c>
      <c r="S703">
        <v>80</v>
      </c>
    </row>
    <row r="704" spans="1:19">
      <c r="A704" t="s">
        <v>68</v>
      </c>
      <c r="B704" s="1">
        <v>-416.66666666666669</v>
      </c>
      <c r="C704">
        <v>156</v>
      </c>
      <c r="D704">
        <v>116</v>
      </c>
      <c r="E704">
        <v>156</v>
      </c>
      <c r="F704">
        <v>268</v>
      </c>
      <c r="G704">
        <v>132</v>
      </c>
      <c r="H704">
        <v>152</v>
      </c>
      <c r="I704">
        <v>100</v>
      </c>
      <c r="J704" s="1">
        <v>-416.66666666666669</v>
      </c>
      <c r="K704">
        <v>0</v>
      </c>
      <c r="L704">
        <v>0</v>
      </c>
      <c r="M704" s="1">
        <v>-416.66666666666669</v>
      </c>
      <c r="N704">
        <v>0</v>
      </c>
      <c r="O704">
        <v>0</v>
      </c>
      <c r="P704">
        <v>0</v>
      </c>
      <c r="Q704" s="1">
        <v>-416.66666666666669</v>
      </c>
      <c r="R704">
        <v>0</v>
      </c>
      <c r="S704">
        <v>80</v>
      </c>
    </row>
    <row r="705" spans="1:19">
      <c r="A705" t="s">
        <v>68</v>
      </c>
      <c r="B705" s="1">
        <v>-416.66666666666669</v>
      </c>
      <c r="C705">
        <v>156</v>
      </c>
      <c r="D705">
        <v>116</v>
      </c>
      <c r="E705">
        <v>156</v>
      </c>
      <c r="F705">
        <v>268</v>
      </c>
      <c r="G705">
        <v>132</v>
      </c>
      <c r="H705">
        <v>152</v>
      </c>
      <c r="I705">
        <v>100</v>
      </c>
      <c r="J705" s="1">
        <v>-416.66666666666669</v>
      </c>
      <c r="K705">
        <v>0</v>
      </c>
      <c r="L705">
        <v>0</v>
      </c>
      <c r="M705" s="1">
        <v>-416.66666666666669</v>
      </c>
      <c r="N705">
        <v>0</v>
      </c>
      <c r="O705">
        <v>0</v>
      </c>
      <c r="P705">
        <v>0</v>
      </c>
      <c r="Q705" s="1">
        <v>-416.66666666666669</v>
      </c>
      <c r="R705">
        <v>0</v>
      </c>
      <c r="S705">
        <v>80</v>
      </c>
    </row>
    <row r="706" spans="1:19">
      <c r="A706" t="s">
        <v>68</v>
      </c>
      <c r="B706" s="1">
        <v>-416.66666666666669</v>
      </c>
      <c r="C706">
        <v>156</v>
      </c>
      <c r="D706">
        <v>116</v>
      </c>
      <c r="E706">
        <v>156</v>
      </c>
      <c r="F706">
        <v>268</v>
      </c>
      <c r="G706">
        <v>132</v>
      </c>
      <c r="H706">
        <v>152</v>
      </c>
      <c r="I706">
        <v>100</v>
      </c>
      <c r="J706" s="1">
        <v>-416.66666666666669</v>
      </c>
      <c r="K706">
        <v>0</v>
      </c>
      <c r="L706">
        <v>0</v>
      </c>
      <c r="M706" s="1">
        <v>-416.66666666666669</v>
      </c>
      <c r="N706">
        <v>0</v>
      </c>
      <c r="O706">
        <v>0</v>
      </c>
      <c r="P706">
        <v>0</v>
      </c>
      <c r="Q706" s="1">
        <v>-416.66666666666669</v>
      </c>
      <c r="R706">
        <v>0</v>
      </c>
      <c r="S706">
        <v>80</v>
      </c>
    </row>
    <row r="707" spans="1:19">
      <c r="A707" t="s">
        <v>68</v>
      </c>
      <c r="B707" s="1">
        <v>-416.66666666666669</v>
      </c>
      <c r="C707">
        <v>156</v>
      </c>
      <c r="D707">
        <v>116</v>
      </c>
      <c r="E707">
        <v>156</v>
      </c>
      <c r="F707">
        <v>268</v>
      </c>
      <c r="G707">
        <v>132</v>
      </c>
      <c r="H707">
        <v>152</v>
      </c>
      <c r="I707">
        <v>100</v>
      </c>
      <c r="J707" s="1">
        <v>-416.66666666666669</v>
      </c>
      <c r="K707">
        <v>0</v>
      </c>
      <c r="L707">
        <v>0</v>
      </c>
      <c r="M707" s="1">
        <v>-416.66666666666669</v>
      </c>
      <c r="N707">
        <v>0</v>
      </c>
      <c r="O707">
        <v>0</v>
      </c>
      <c r="P707">
        <v>0</v>
      </c>
      <c r="Q707" s="1">
        <v>-416.66666666666669</v>
      </c>
      <c r="R707">
        <v>0</v>
      </c>
      <c r="S707">
        <v>80</v>
      </c>
    </row>
    <row r="708" spans="1:19">
      <c r="A708" t="s">
        <v>68</v>
      </c>
      <c r="B708" s="1">
        <v>-416.66666666666669</v>
      </c>
      <c r="C708">
        <v>156</v>
      </c>
      <c r="D708">
        <v>116</v>
      </c>
      <c r="E708">
        <v>156</v>
      </c>
      <c r="F708">
        <v>268</v>
      </c>
      <c r="G708">
        <v>132</v>
      </c>
      <c r="H708">
        <v>152</v>
      </c>
      <c r="I708">
        <v>100</v>
      </c>
      <c r="J708" s="1">
        <v>-416.66666666666669</v>
      </c>
      <c r="K708">
        <v>0</v>
      </c>
      <c r="L708">
        <v>0</v>
      </c>
      <c r="M708" s="1">
        <v>-416.66666666666669</v>
      </c>
      <c r="N708">
        <v>0</v>
      </c>
      <c r="O708">
        <v>0</v>
      </c>
      <c r="P708">
        <v>0</v>
      </c>
      <c r="Q708" s="1">
        <v>-416.66666666666669</v>
      </c>
      <c r="R708">
        <v>0</v>
      </c>
      <c r="S708">
        <v>80</v>
      </c>
    </row>
    <row r="709" spans="1:19">
      <c r="A709" t="s">
        <v>68</v>
      </c>
      <c r="B709" s="1">
        <v>-416.66666666666669</v>
      </c>
      <c r="C709">
        <v>160</v>
      </c>
      <c r="D709">
        <v>116</v>
      </c>
      <c r="E709">
        <v>156</v>
      </c>
      <c r="F709">
        <v>268</v>
      </c>
      <c r="G709">
        <v>132</v>
      </c>
      <c r="H709">
        <v>152</v>
      </c>
      <c r="I709">
        <v>100</v>
      </c>
      <c r="J709" s="1">
        <v>-416.66666666666669</v>
      </c>
      <c r="K709">
        <v>0</v>
      </c>
      <c r="L709">
        <v>0</v>
      </c>
      <c r="M709" s="1">
        <v>-416.66666666666669</v>
      </c>
      <c r="N709">
        <v>0</v>
      </c>
      <c r="O709">
        <v>0</v>
      </c>
      <c r="P709">
        <v>0</v>
      </c>
      <c r="Q709" s="1">
        <v>-416.66666666666669</v>
      </c>
      <c r="R709">
        <v>0</v>
      </c>
      <c r="S709">
        <v>80</v>
      </c>
    </row>
    <row r="710" spans="1:19">
      <c r="A710" t="s">
        <v>68</v>
      </c>
      <c r="B710" s="1">
        <v>-416.66666666666669</v>
      </c>
      <c r="C710">
        <v>156</v>
      </c>
      <c r="D710">
        <v>116</v>
      </c>
      <c r="E710">
        <v>156</v>
      </c>
      <c r="F710">
        <v>268</v>
      </c>
      <c r="G710">
        <v>132</v>
      </c>
      <c r="H710">
        <v>152</v>
      </c>
      <c r="I710">
        <v>100</v>
      </c>
      <c r="J710" s="1">
        <v>-416.66666666666669</v>
      </c>
      <c r="K710">
        <v>0</v>
      </c>
      <c r="L710">
        <v>0</v>
      </c>
      <c r="M710" s="1">
        <v>-416.66666666666669</v>
      </c>
      <c r="N710">
        <v>0</v>
      </c>
      <c r="O710">
        <v>0</v>
      </c>
      <c r="P710">
        <v>0</v>
      </c>
      <c r="Q710" s="1">
        <v>-416.66666666666669</v>
      </c>
      <c r="R710">
        <v>0</v>
      </c>
      <c r="S710">
        <v>80</v>
      </c>
    </row>
    <row r="711" spans="1:19">
      <c r="A711" t="s">
        <v>68</v>
      </c>
      <c r="B711" s="1">
        <v>-416.66666666666669</v>
      </c>
      <c r="C711">
        <v>160</v>
      </c>
      <c r="D711">
        <v>116</v>
      </c>
      <c r="E711">
        <v>156</v>
      </c>
      <c r="F711">
        <v>268</v>
      </c>
      <c r="G711">
        <v>132</v>
      </c>
      <c r="H711">
        <v>152</v>
      </c>
      <c r="I711">
        <v>100</v>
      </c>
      <c r="J711" s="1">
        <v>-416.66666666666669</v>
      </c>
      <c r="K711">
        <v>0</v>
      </c>
      <c r="L711">
        <v>0</v>
      </c>
      <c r="M711" s="1">
        <v>-416.66666666666669</v>
      </c>
      <c r="N711">
        <v>0</v>
      </c>
      <c r="O711">
        <v>0</v>
      </c>
      <c r="P711">
        <v>0</v>
      </c>
      <c r="Q711" s="1">
        <v>-416.66666666666669</v>
      </c>
      <c r="R711">
        <v>0</v>
      </c>
      <c r="S711">
        <v>80</v>
      </c>
    </row>
    <row r="712" spans="1:19">
      <c r="A712" t="s">
        <v>68</v>
      </c>
      <c r="B712" s="1">
        <v>-416.66666666666669</v>
      </c>
      <c r="C712">
        <v>160</v>
      </c>
      <c r="D712">
        <v>116</v>
      </c>
      <c r="E712">
        <v>156</v>
      </c>
      <c r="F712">
        <v>268</v>
      </c>
      <c r="G712">
        <v>132</v>
      </c>
      <c r="H712">
        <v>152</v>
      </c>
      <c r="I712">
        <v>100</v>
      </c>
      <c r="J712" s="1">
        <v>-416.66666666666669</v>
      </c>
      <c r="K712">
        <v>0</v>
      </c>
      <c r="L712">
        <v>0</v>
      </c>
      <c r="M712" s="1">
        <v>-416.66666666666669</v>
      </c>
      <c r="N712">
        <v>0</v>
      </c>
      <c r="O712">
        <v>0</v>
      </c>
      <c r="P712">
        <v>0</v>
      </c>
      <c r="Q712" s="1">
        <v>-416.66666666666669</v>
      </c>
      <c r="R712">
        <v>0</v>
      </c>
      <c r="S712">
        <v>80</v>
      </c>
    </row>
    <row r="713" spans="1:19">
      <c r="A713" t="s">
        <v>68</v>
      </c>
      <c r="B713" s="1">
        <v>-416.66666666666669</v>
      </c>
      <c r="C713">
        <v>156</v>
      </c>
      <c r="D713">
        <v>116</v>
      </c>
      <c r="E713">
        <v>156</v>
      </c>
      <c r="F713">
        <v>268</v>
      </c>
      <c r="G713">
        <v>132</v>
      </c>
      <c r="H713">
        <v>152</v>
      </c>
      <c r="I713">
        <v>100</v>
      </c>
      <c r="J713" s="1">
        <v>-416.66666666666669</v>
      </c>
      <c r="K713">
        <v>0</v>
      </c>
      <c r="L713">
        <v>0</v>
      </c>
      <c r="M713" s="1">
        <v>-416.66666666666669</v>
      </c>
      <c r="N713">
        <v>0</v>
      </c>
      <c r="O713">
        <v>0</v>
      </c>
      <c r="P713">
        <v>0</v>
      </c>
      <c r="Q713" s="1">
        <v>-416.66666666666669</v>
      </c>
      <c r="R713">
        <v>0</v>
      </c>
      <c r="S713">
        <v>80</v>
      </c>
    </row>
    <row r="714" spans="1:19">
      <c r="A714" t="s">
        <v>61</v>
      </c>
      <c r="B714" s="1">
        <v>-416.66666666666669</v>
      </c>
      <c r="C714">
        <v>0</v>
      </c>
      <c r="D714">
        <v>16</v>
      </c>
      <c r="E714">
        <v>0</v>
      </c>
      <c r="F714">
        <v>0</v>
      </c>
      <c r="G714">
        <v>520</v>
      </c>
      <c r="H714">
        <v>512</v>
      </c>
      <c r="I714">
        <v>128</v>
      </c>
      <c r="J714" s="1">
        <v>-416.66666666666669</v>
      </c>
      <c r="K714">
        <v>0</v>
      </c>
      <c r="L714">
        <v>0</v>
      </c>
      <c r="M714" s="1">
        <v>-416.66666666666669</v>
      </c>
      <c r="N714">
        <v>0</v>
      </c>
      <c r="O714">
        <v>0</v>
      </c>
      <c r="P714">
        <v>0</v>
      </c>
      <c r="Q714" s="1">
        <v>-416.66666666666669</v>
      </c>
      <c r="R714">
        <v>0</v>
      </c>
      <c r="S714">
        <v>0</v>
      </c>
    </row>
    <row r="715" spans="1:19">
      <c r="A715" t="s">
        <v>69</v>
      </c>
      <c r="B715" s="1">
        <v>-416.66666666666669</v>
      </c>
      <c r="C715">
        <v>0</v>
      </c>
      <c r="D715">
        <v>0</v>
      </c>
      <c r="E715">
        <v>0</v>
      </c>
      <c r="F715">
        <v>128</v>
      </c>
      <c r="G715">
        <v>0</v>
      </c>
      <c r="H715">
        <v>0</v>
      </c>
      <c r="I715">
        <v>0</v>
      </c>
      <c r="J715" s="1">
        <v>-416.66666666666669</v>
      </c>
      <c r="K715">
        <v>0</v>
      </c>
      <c r="L715">
        <v>16</v>
      </c>
      <c r="M715" s="1">
        <v>-416.66666666666669</v>
      </c>
      <c r="N715">
        <v>0</v>
      </c>
      <c r="O715">
        <v>0</v>
      </c>
      <c r="P715">
        <v>0</v>
      </c>
      <c r="Q715" s="1">
        <v>-416.66666666666669</v>
      </c>
      <c r="R715">
        <v>0</v>
      </c>
      <c r="S715">
        <v>128</v>
      </c>
    </row>
    <row r="716" spans="1:19">
      <c r="A716" t="s">
        <v>70</v>
      </c>
      <c r="B716" s="1">
        <v>-416.66666666666669</v>
      </c>
      <c r="C716">
        <v>64</v>
      </c>
      <c r="D716">
        <v>0</v>
      </c>
      <c r="E716">
        <v>256</v>
      </c>
      <c r="F716">
        <v>0</v>
      </c>
      <c r="G716">
        <v>0</v>
      </c>
      <c r="H716">
        <v>0</v>
      </c>
      <c r="I716">
        <v>0</v>
      </c>
      <c r="J716" s="1">
        <v>-416.66666666666669</v>
      </c>
      <c r="K716">
        <v>0</v>
      </c>
      <c r="L716">
        <v>0</v>
      </c>
      <c r="M716" s="1">
        <v>-416.66666666666669</v>
      </c>
      <c r="N716">
        <v>0</v>
      </c>
      <c r="O716">
        <v>0</v>
      </c>
      <c r="P716">
        <v>0</v>
      </c>
      <c r="Q716" s="1">
        <v>-416.66666666666669</v>
      </c>
      <c r="R716">
        <v>0</v>
      </c>
      <c r="S716">
        <v>128</v>
      </c>
    </row>
    <row r="717" spans="1:19">
      <c r="A717" t="s">
        <v>70</v>
      </c>
      <c r="B717" s="1">
        <v>-416.66666666666669</v>
      </c>
      <c r="C717">
        <v>64</v>
      </c>
      <c r="D717">
        <v>320</v>
      </c>
      <c r="E717">
        <v>8</v>
      </c>
      <c r="F717">
        <v>0</v>
      </c>
      <c r="G717">
        <v>0</v>
      </c>
      <c r="H717">
        <v>52</v>
      </c>
      <c r="I717">
        <v>192</v>
      </c>
      <c r="J717" s="1">
        <v>-416.66666666666669</v>
      </c>
      <c r="K717">
        <v>2</v>
      </c>
      <c r="L717">
        <v>16</v>
      </c>
      <c r="M717" s="1">
        <v>-416.66666666666669</v>
      </c>
      <c r="N717">
        <v>0</v>
      </c>
      <c r="O717">
        <v>66</v>
      </c>
      <c r="P717">
        <v>132</v>
      </c>
      <c r="Q717" s="1">
        <v>-416.66666666666669</v>
      </c>
      <c r="R717">
        <v>64</v>
      </c>
      <c r="S717">
        <v>4</v>
      </c>
    </row>
    <row r="718" spans="1:19">
      <c r="A718" t="s">
        <v>124</v>
      </c>
      <c r="B718" s="1">
        <v>-416.66666666666669</v>
      </c>
      <c r="C718">
        <v>0</v>
      </c>
      <c r="D718">
        <v>0</v>
      </c>
      <c r="E718">
        <v>544</v>
      </c>
      <c r="F718">
        <v>0</v>
      </c>
      <c r="G718">
        <v>64</v>
      </c>
      <c r="H718">
        <v>260</v>
      </c>
      <c r="I718">
        <v>0</v>
      </c>
      <c r="J718" s="1">
        <v>-416.66666666666669</v>
      </c>
      <c r="K718">
        <v>16</v>
      </c>
      <c r="L718">
        <v>-64</v>
      </c>
      <c r="M718" s="1">
        <v>-416.66666666666669</v>
      </c>
      <c r="N718">
        <v>32</v>
      </c>
      <c r="O718">
        <v>18</v>
      </c>
      <c r="P718">
        <v>4</v>
      </c>
      <c r="Q718" s="1">
        <v>-416.66666666666669</v>
      </c>
      <c r="R718">
        <v>-256</v>
      </c>
      <c r="S718">
        <v>132</v>
      </c>
    </row>
    <row r="719" spans="1:19">
      <c r="A719" t="s">
        <v>131</v>
      </c>
      <c r="B719" s="1">
        <v>-416.66666666666669</v>
      </c>
      <c r="C719">
        <v>256</v>
      </c>
      <c r="D719">
        <v>8</v>
      </c>
      <c r="E719">
        <v>260</v>
      </c>
      <c r="F719">
        <v>0</v>
      </c>
      <c r="G719">
        <v>0</v>
      </c>
      <c r="H719">
        <v>0</v>
      </c>
      <c r="I719">
        <v>256</v>
      </c>
      <c r="J719" s="1">
        <v>-416.66666666666669</v>
      </c>
      <c r="K719">
        <v>-126</v>
      </c>
      <c r="L719">
        <v>-104</v>
      </c>
      <c r="M719" s="1">
        <v>-416.66666666666669</v>
      </c>
      <c r="N719">
        <v>16</v>
      </c>
      <c r="O719">
        <v>-103</v>
      </c>
      <c r="P719">
        <v>-222</v>
      </c>
      <c r="Q719" s="1">
        <v>-416.66666666666669</v>
      </c>
      <c r="R719">
        <v>16</v>
      </c>
      <c r="S719">
        <v>0</v>
      </c>
    </row>
    <row r="720" spans="1:19">
      <c r="A720" t="s">
        <v>132</v>
      </c>
      <c r="B720" s="1">
        <v>-416.66666666666669</v>
      </c>
      <c r="C720">
        <v>0</v>
      </c>
      <c r="D720">
        <v>128</v>
      </c>
      <c r="E720">
        <v>264</v>
      </c>
      <c r="F720">
        <v>64</v>
      </c>
      <c r="G720">
        <v>512</v>
      </c>
      <c r="H720">
        <v>272</v>
      </c>
      <c r="I720">
        <v>136</v>
      </c>
      <c r="J720" s="1">
        <v>-416.66666666666669</v>
      </c>
      <c r="K720">
        <v>32</v>
      </c>
      <c r="L720">
        <v>0</v>
      </c>
      <c r="M720" s="1">
        <v>-416.66666666666669</v>
      </c>
      <c r="N720">
        <v>168</v>
      </c>
      <c r="O720">
        <v>90</v>
      </c>
      <c r="P720">
        <v>12</v>
      </c>
      <c r="Q720" s="1">
        <v>-416.66666666666669</v>
      </c>
      <c r="R720">
        <v>64</v>
      </c>
      <c r="S720">
        <v>68</v>
      </c>
    </row>
    <row r="721" spans="1:19">
      <c r="A721" t="s">
        <v>133</v>
      </c>
      <c r="B721" s="1">
        <v>-416.66666666666669</v>
      </c>
      <c r="C721">
        <v>88</v>
      </c>
      <c r="D721">
        <v>336</v>
      </c>
      <c r="E721">
        <v>8</v>
      </c>
      <c r="F721">
        <v>96</v>
      </c>
      <c r="G721">
        <v>552</v>
      </c>
      <c r="H721">
        <v>336</v>
      </c>
      <c r="I721">
        <v>160</v>
      </c>
      <c r="J721" s="1">
        <v>-416.66666666666669</v>
      </c>
      <c r="K721">
        <v>0</v>
      </c>
      <c r="L721">
        <v>2</v>
      </c>
      <c r="M721" s="1">
        <v>-416.66666666666669</v>
      </c>
      <c r="N721">
        <v>8</v>
      </c>
      <c r="O721">
        <v>22</v>
      </c>
      <c r="P721">
        <v>36</v>
      </c>
      <c r="Q721" s="1">
        <v>-416.66666666666669</v>
      </c>
      <c r="R721">
        <v>0</v>
      </c>
      <c r="S721">
        <v>32</v>
      </c>
    </row>
    <row r="722" spans="1:19">
      <c r="A722" t="s">
        <v>125</v>
      </c>
      <c r="B722" s="1">
        <v>-416.66666666666669</v>
      </c>
      <c r="C722">
        <v>0</v>
      </c>
      <c r="D722">
        <v>0</v>
      </c>
      <c r="E722">
        <v>40</v>
      </c>
      <c r="F722">
        <v>160</v>
      </c>
      <c r="G722">
        <v>0</v>
      </c>
      <c r="H722">
        <v>144</v>
      </c>
      <c r="I722">
        <v>256</v>
      </c>
      <c r="J722" s="1">
        <v>-416.66666666666669</v>
      </c>
      <c r="K722">
        <v>0</v>
      </c>
      <c r="L722">
        <v>0</v>
      </c>
      <c r="M722" s="1">
        <v>-416.66666666666669</v>
      </c>
      <c r="N722">
        <v>64</v>
      </c>
      <c r="O722">
        <v>50</v>
      </c>
      <c r="P722" s="12">
        <v>36</v>
      </c>
      <c r="Q722" s="1">
        <v>-416.66666666666669</v>
      </c>
      <c r="R722">
        <v>-256</v>
      </c>
      <c r="S722">
        <v>164</v>
      </c>
    </row>
    <row r="723" spans="1:19">
      <c r="A723" t="s">
        <v>134</v>
      </c>
      <c r="B723" s="1">
        <v>-416.66666666666669</v>
      </c>
      <c r="C723">
        <v>8</v>
      </c>
      <c r="D723">
        <v>8</v>
      </c>
      <c r="E723">
        <v>0</v>
      </c>
      <c r="F723">
        <v>0</v>
      </c>
      <c r="G723">
        <v>0</v>
      </c>
      <c r="H723">
        <v>288</v>
      </c>
      <c r="I723">
        <v>192</v>
      </c>
      <c r="J723" s="1">
        <v>-416.66666666666669</v>
      </c>
      <c r="K723">
        <v>32</v>
      </c>
      <c r="L723">
        <v>-120</v>
      </c>
      <c r="M723" s="1">
        <v>-416.66666666666669</v>
      </c>
      <c r="N723">
        <v>64</v>
      </c>
      <c r="O723">
        <v>32</v>
      </c>
      <c r="P723">
        <v>0</v>
      </c>
      <c r="Q723" s="1">
        <v>-416.66666666666669</v>
      </c>
      <c r="R723">
        <v>32</v>
      </c>
      <c r="S723">
        <v>0</v>
      </c>
    </row>
    <row r="724" spans="1:19">
      <c r="A724" t="s">
        <v>135</v>
      </c>
      <c r="B724" s="1">
        <v>-416.66666666666669</v>
      </c>
      <c r="C724">
        <v>256</v>
      </c>
      <c r="D724">
        <v>72</v>
      </c>
      <c r="E724">
        <v>256</v>
      </c>
      <c r="F724">
        <v>0</v>
      </c>
      <c r="G724">
        <v>4</v>
      </c>
      <c r="H724">
        <v>256</v>
      </c>
      <c r="I724">
        <v>520</v>
      </c>
      <c r="J724" s="1">
        <v>-416.66666666666669</v>
      </c>
      <c r="K724">
        <v>0</v>
      </c>
      <c r="L724">
        <v>2</v>
      </c>
      <c r="M724" s="1">
        <v>-416.66666666666669</v>
      </c>
      <c r="N724">
        <v>0</v>
      </c>
      <c r="O724">
        <v>11</v>
      </c>
      <c r="P724">
        <v>22</v>
      </c>
      <c r="Q724" s="1">
        <v>-416.66666666666669</v>
      </c>
      <c r="R724">
        <v>0</v>
      </c>
      <c r="S724">
        <v>0</v>
      </c>
    </row>
    <row r="725" spans="1:19">
      <c r="A725" t="s">
        <v>126</v>
      </c>
      <c r="B725" s="1">
        <v>-416.66666666666669</v>
      </c>
      <c r="C725">
        <v>0</v>
      </c>
      <c r="D725">
        <v>652</v>
      </c>
      <c r="E725">
        <v>40</v>
      </c>
      <c r="F725">
        <v>520</v>
      </c>
      <c r="G725">
        <v>72</v>
      </c>
      <c r="H725">
        <v>64</v>
      </c>
      <c r="I725">
        <v>160</v>
      </c>
      <c r="J725" s="1">
        <v>-416.66666666666669</v>
      </c>
      <c r="K725">
        <v>16</v>
      </c>
      <c r="L725">
        <v>8</v>
      </c>
      <c r="M725" s="1">
        <v>-416.66666666666669</v>
      </c>
      <c r="N725">
        <v>64</v>
      </c>
      <c r="O725">
        <v>32</v>
      </c>
      <c r="P725" s="12">
        <v>0</v>
      </c>
      <c r="Q725" s="1">
        <v>-416.66666666666669</v>
      </c>
      <c r="R725">
        <v>0</v>
      </c>
      <c r="S725">
        <v>80</v>
      </c>
    </row>
    <row r="726" spans="1:19">
      <c r="A726" t="s">
        <v>136</v>
      </c>
      <c r="B726" s="1">
        <v>-416.66666666666669</v>
      </c>
      <c r="C726">
        <v>0</v>
      </c>
      <c r="D726">
        <v>272</v>
      </c>
      <c r="E726">
        <v>0</v>
      </c>
      <c r="F726">
        <v>128</v>
      </c>
      <c r="G726">
        <v>560</v>
      </c>
      <c r="H726">
        <v>0</v>
      </c>
      <c r="I726">
        <v>136</v>
      </c>
      <c r="J726" s="1">
        <v>-416.66666666666669</v>
      </c>
      <c r="K726">
        <v>-126</v>
      </c>
      <c r="L726">
        <v>0</v>
      </c>
      <c r="M726" s="1">
        <v>-416.66666666666669</v>
      </c>
      <c r="N726">
        <v>0</v>
      </c>
      <c r="O726">
        <v>6</v>
      </c>
      <c r="P726">
        <v>12</v>
      </c>
      <c r="Q726" s="1">
        <v>-416.66666666666669</v>
      </c>
      <c r="R726">
        <v>-174</v>
      </c>
      <c r="S726">
        <v>0</v>
      </c>
    </row>
    <row r="727" spans="1:19">
      <c r="A727" t="s">
        <v>137</v>
      </c>
      <c r="B727" s="1">
        <v>-416.66666666666669</v>
      </c>
      <c r="C727">
        <v>4</v>
      </c>
      <c r="D727">
        <v>0</v>
      </c>
      <c r="E727">
        <v>16</v>
      </c>
      <c r="F727">
        <v>0</v>
      </c>
      <c r="G727">
        <v>4</v>
      </c>
      <c r="H727">
        <v>256</v>
      </c>
      <c r="I727">
        <v>8</v>
      </c>
      <c r="J727" s="1">
        <v>-416.66666666666669</v>
      </c>
      <c r="K727">
        <v>0</v>
      </c>
      <c r="L727">
        <v>16</v>
      </c>
      <c r="M727" s="1">
        <v>-416.66666666666669</v>
      </c>
      <c r="N727">
        <v>128</v>
      </c>
      <c r="O727">
        <v>128</v>
      </c>
      <c r="P727">
        <v>128</v>
      </c>
      <c r="Q727" s="1">
        <v>-416.66666666666669</v>
      </c>
      <c r="R727">
        <v>0</v>
      </c>
      <c r="S727">
        <v>0</v>
      </c>
    </row>
    <row r="728" spans="1:19">
      <c r="A728" t="s">
        <v>138</v>
      </c>
      <c r="B728" s="1">
        <v>-416.66666666666669</v>
      </c>
      <c r="C728">
        <v>0</v>
      </c>
      <c r="D728">
        <v>264</v>
      </c>
      <c r="E728">
        <v>264</v>
      </c>
      <c r="F728">
        <v>128</v>
      </c>
      <c r="G728">
        <v>0</v>
      </c>
      <c r="H728">
        <v>0</v>
      </c>
      <c r="I728">
        <v>64</v>
      </c>
      <c r="J728" s="1">
        <v>-416.66666666666669</v>
      </c>
      <c r="K728">
        <v>0</v>
      </c>
      <c r="L728">
        <v>0</v>
      </c>
      <c r="M728" s="1">
        <v>-416.66666666666669</v>
      </c>
      <c r="N728">
        <v>0</v>
      </c>
      <c r="O728">
        <v>-128</v>
      </c>
      <c r="P728">
        <v>-256</v>
      </c>
      <c r="Q728" s="1">
        <v>-416.66666666666669</v>
      </c>
      <c r="R728">
        <v>2</v>
      </c>
      <c r="S728">
        <v>64</v>
      </c>
    </row>
    <row r="729" spans="1:19">
      <c r="A729" t="s">
        <v>139</v>
      </c>
      <c r="B729" s="1">
        <v>-416.66666666666669</v>
      </c>
      <c r="C729">
        <v>512</v>
      </c>
      <c r="D729">
        <v>0</v>
      </c>
      <c r="E729">
        <v>16</v>
      </c>
      <c r="F729">
        <v>0</v>
      </c>
      <c r="G729">
        <v>272</v>
      </c>
      <c r="H729">
        <v>80</v>
      </c>
      <c r="I729">
        <v>0</v>
      </c>
      <c r="J729" s="1">
        <v>-416.66666666666669</v>
      </c>
      <c r="K729">
        <v>1</v>
      </c>
      <c r="L729">
        <v>16</v>
      </c>
      <c r="M729" s="1">
        <v>-416.66666666666669</v>
      </c>
      <c r="N729">
        <v>16</v>
      </c>
      <c r="O729">
        <v>26</v>
      </c>
      <c r="P729">
        <v>36</v>
      </c>
      <c r="Q729" s="1">
        <v>-416.66666666666669</v>
      </c>
      <c r="R729">
        <v>36</v>
      </c>
      <c r="S729">
        <v>-192</v>
      </c>
    </row>
    <row r="730" spans="1:19">
      <c r="A730" t="s">
        <v>140</v>
      </c>
      <c r="B730" s="1">
        <v>-416.66666666666669</v>
      </c>
      <c r="C730">
        <v>16</v>
      </c>
      <c r="D730">
        <v>128</v>
      </c>
      <c r="E730">
        <v>520</v>
      </c>
      <c r="F730">
        <v>0</v>
      </c>
      <c r="G730">
        <v>0</v>
      </c>
      <c r="H730">
        <v>96</v>
      </c>
      <c r="I730">
        <v>256</v>
      </c>
      <c r="J730" s="1">
        <v>-416.66666666666669</v>
      </c>
      <c r="K730">
        <v>32</v>
      </c>
      <c r="L730">
        <v>0</v>
      </c>
      <c r="M730" s="1">
        <v>-416.66666666666669</v>
      </c>
      <c r="N730">
        <v>0</v>
      </c>
      <c r="O730">
        <v>16</v>
      </c>
      <c r="P730">
        <v>32</v>
      </c>
      <c r="Q730" s="1">
        <v>-416.66666666666669</v>
      </c>
      <c r="R730">
        <v>0</v>
      </c>
      <c r="S730">
        <v>128</v>
      </c>
    </row>
    <row r="731" spans="1:19">
      <c r="A731" t="s">
        <v>127</v>
      </c>
      <c r="B731" s="1">
        <v>-416.66666666666669</v>
      </c>
      <c r="C731">
        <v>64</v>
      </c>
      <c r="D731">
        <v>8</v>
      </c>
      <c r="E731">
        <v>0</v>
      </c>
      <c r="F731">
        <v>416</v>
      </c>
      <c r="G731">
        <v>32</v>
      </c>
      <c r="H731">
        <v>0</v>
      </c>
      <c r="I731">
        <v>32</v>
      </c>
      <c r="J731" s="1">
        <v>-416.66666666666669</v>
      </c>
      <c r="K731">
        <v>-112</v>
      </c>
      <c r="L731">
        <v>-128</v>
      </c>
      <c r="M731" s="1">
        <v>-416.66666666666669</v>
      </c>
      <c r="N731">
        <v>192</v>
      </c>
      <c r="O731">
        <v>128</v>
      </c>
      <c r="P731">
        <v>64</v>
      </c>
      <c r="Q731" s="1">
        <v>-416.66666666666669</v>
      </c>
      <c r="R731">
        <v>16</v>
      </c>
      <c r="S731">
        <v>64</v>
      </c>
    </row>
    <row r="732" spans="1:19">
      <c r="A732" t="s">
        <v>141</v>
      </c>
      <c r="B732" s="1">
        <v>-416.66666666666669</v>
      </c>
      <c r="C732">
        <v>516</v>
      </c>
      <c r="D732">
        <v>768</v>
      </c>
      <c r="E732">
        <v>0</v>
      </c>
      <c r="F732">
        <v>0</v>
      </c>
      <c r="G732">
        <v>16</v>
      </c>
      <c r="H732">
        <v>232</v>
      </c>
      <c r="I732">
        <v>8</v>
      </c>
      <c r="J732" s="1">
        <v>-416.66666666666669</v>
      </c>
      <c r="K732">
        <v>32</v>
      </c>
      <c r="L732">
        <v>0</v>
      </c>
      <c r="M732" s="1">
        <v>-416.66666666666669</v>
      </c>
      <c r="N732">
        <v>136</v>
      </c>
      <c r="O732">
        <v>68</v>
      </c>
      <c r="P732">
        <v>0</v>
      </c>
      <c r="Q732" s="1">
        <v>-416.66666666666669</v>
      </c>
      <c r="R732">
        <v>-128</v>
      </c>
      <c r="S732">
        <v>4</v>
      </c>
    </row>
    <row r="733" spans="1:19">
      <c r="A733" t="s">
        <v>142</v>
      </c>
      <c r="B733" s="1">
        <v>-416.66666666666669</v>
      </c>
      <c r="C733">
        <v>32</v>
      </c>
      <c r="D733">
        <v>516</v>
      </c>
      <c r="E733">
        <v>16</v>
      </c>
      <c r="F733">
        <v>0</v>
      </c>
      <c r="G733">
        <v>200</v>
      </c>
      <c r="H733">
        <v>32</v>
      </c>
      <c r="I733">
        <v>196</v>
      </c>
      <c r="J733" s="1">
        <v>-416.66666666666669</v>
      </c>
      <c r="K733">
        <v>0</v>
      </c>
      <c r="L733">
        <v>8</v>
      </c>
      <c r="M733" s="1">
        <v>-416.66666666666669</v>
      </c>
      <c r="N733">
        <v>34</v>
      </c>
      <c r="O733">
        <v>17</v>
      </c>
      <c r="P733">
        <v>0</v>
      </c>
      <c r="Q733" s="1">
        <v>-416.66666666666669</v>
      </c>
      <c r="R733">
        <v>144</v>
      </c>
      <c r="S733">
        <v>-158</v>
      </c>
    </row>
    <row r="734" spans="1:19">
      <c r="A734" t="s">
        <v>143</v>
      </c>
      <c r="B734" s="1">
        <v>-416.66666666666669</v>
      </c>
      <c r="C734">
        <v>32</v>
      </c>
      <c r="D734">
        <v>32</v>
      </c>
      <c r="E734">
        <v>864</v>
      </c>
      <c r="F734">
        <v>0</v>
      </c>
      <c r="G734">
        <v>640</v>
      </c>
      <c r="H734">
        <v>256</v>
      </c>
      <c r="I734">
        <v>256</v>
      </c>
      <c r="J734" s="1">
        <v>-416.66666666666669</v>
      </c>
      <c r="K734">
        <v>0</v>
      </c>
      <c r="L734">
        <v>9</v>
      </c>
      <c r="M734" s="1">
        <v>-416.66666666666669</v>
      </c>
      <c r="N734">
        <v>0</v>
      </c>
      <c r="O734">
        <v>-125</v>
      </c>
      <c r="P734">
        <v>-250</v>
      </c>
      <c r="Q734" s="1">
        <v>-416.66666666666669</v>
      </c>
      <c r="R734">
        <v>0</v>
      </c>
      <c r="S734">
        <v>64</v>
      </c>
    </row>
    <row r="735" spans="1:19">
      <c r="A735" t="s">
        <v>64</v>
      </c>
      <c r="B735" s="1">
        <v>-416.66666666666669</v>
      </c>
      <c r="C735">
        <v>68</v>
      </c>
      <c r="D735">
        <v>32</v>
      </c>
      <c r="E735">
        <v>16</v>
      </c>
      <c r="F735">
        <v>0</v>
      </c>
      <c r="G735">
        <v>528</v>
      </c>
      <c r="H735">
        <v>192</v>
      </c>
      <c r="I735">
        <v>128</v>
      </c>
      <c r="J735" s="1">
        <v>-416.66666666666669</v>
      </c>
      <c r="K735">
        <v>0</v>
      </c>
      <c r="L735">
        <v>25</v>
      </c>
      <c r="M735" s="1">
        <v>-416.66666666666669</v>
      </c>
      <c r="N735">
        <v>4</v>
      </c>
      <c r="O735">
        <v>8</v>
      </c>
      <c r="P735">
        <v>12</v>
      </c>
      <c r="Q735" s="1">
        <v>-416.66666666666669</v>
      </c>
      <c r="R735">
        <v>0</v>
      </c>
      <c r="S735">
        <v>-208</v>
      </c>
    </row>
    <row r="736" spans="1:19">
      <c r="A736" t="s">
        <v>128</v>
      </c>
      <c r="B736" s="1">
        <v>-416.66666666666669</v>
      </c>
      <c r="C736">
        <v>512</v>
      </c>
      <c r="D736">
        <v>4</v>
      </c>
      <c r="E736">
        <v>0</v>
      </c>
      <c r="F736">
        <v>32</v>
      </c>
      <c r="G736">
        <v>260</v>
      </c>
      <c r="H736">
        <v>0</v>
      </c>
      <c r="I736">
        <v>72</v>
      </c>
      <c r="J736" s="1">
        <v>-416.66666666666669</v>
      </c>
      <c r="K736">
        <v>0</v>
      </c>
      <c r="L736">
        <v>0</v>
      </c>
      <c r="M736" s="1">
        <v>-416.66666666666669</v>
      </c>
      <c r="N736">
        <v>0</v>
      </c>
      <c r="O736">
        <v>16</v>
      </c>
      <c r="P736" s="12">
        <v>32</v>
      </c>
      <c r="Q736" s="1">
        <v>-416.66666666666669</v>
      </c>
      <c r="R736">
        <v>64</v>
      </c>
      <c r="S736">
        <v>4</v>
      </c>
    </row>
    <row r="737" spans="1:19">
      <c r="A737" t="s">
        <v>144</v>
      </c>
      <c r="B737" s="1">
        <v>-416.66666666666669</v>
      </c>
      <c r="C737">
        <v>0</v>
      </c>
      <c r="D737">
        <v>128</v>
      </c>
      <c r="E737">
        <v>0</v>
      </c>
      <c r="F737">
        <v>576</v>
      </c>
      <c r="G737">
        <v>808</v>
      </c>
      <c r="H737">
        <v>320</v>
      </c>
      <c r="I737">
        <v>128</v>
      </c>
      <c r="J737" s="1">
        <v>-416.66666666666669</v>
      </c>
      <c r="K737">
        <v>-128</v>
      </c>
      <c r="L737">
        <v>0</v>
      </c>
      <c r="M737" s="1">
        <v>-416.66666666666669</v>
      </c>
      <c r="N737">
        <v>128</v>
      </c>
      <c r="O737">
        <v>112</v>
      </c>
      <c r="P737" s="12">
        <v>96</v>
      </c>
      <c r="Q737" s="1">
        <v>-416.66666666666669</v>
      </c>
      <c r="R737">
        <v>0</v>
      </c>
      <c r="S737">
        <v>66</v>
      </c>
    </row>
    <row r="738" spans="1:19">
      <c r="A738" t="s">
        <v>145</v>
      </c>
      <c r="B738" s="1">
        <v>-416.66666666666669</v>
      </c>
      <c r="C738">
        <v>0</v>
      </c>
      <c r="D738">
        <v>0</v>
      </c>
      <c r="E738">
        <v>68</v>
      </c>
      <c r="F738">
        <v>136</v>
      </c>
      <c r="G738">
        <v>0</v>
      </c>
      <c r="H738">
        <v>260</v>
      </c>
      <c r="I738">
        <v>640</v>
      </c>
      <c r="J738" s="1">
        <v>-416.66666666666669</v>
      </c>
      <c r="K738">
        <v>0</v>
      </c>
      <c r="L738">
        <v>0</v>
      </c>
      <c r="M738" s="1">
        <v>-416.66666666666669</v>
      </c>
      <c r="N738">
        <v>0</v>
      </c>
      <c r="O738">
        <v>6</v>
      </c>
      <c r="P738">
        <v>12</v>
      </c>
      <c r="Q738" s="1">
        <v>-416.66666666666669</v>
      </c>
      <c r="R738">
        <v>0</v>
      </c>
      <c r="S738">
        <v>160</v>
      </c>
    </row>
    <row r="739" spans="1:19">
      <c r="A739" t="s">
        <v>146</v>
      </c>
      <c r="B739" s="1">
        <v>-416.66666666666669</v>
      </c>
      <c r="C739">
        <v>0</v>
      </c>
      <c r="D739">
        <v>0</v>
      </c>
      <c r="E739">
        <v>0</v>
      </c>
      <c r="F739">
        <v>64</v>
      </c>
      <c r="G739">
        <v>768</v>
      </c>
      <c r="H739">
        <v>64</v>
      </c>
      <c r="I739">
        <v>128</v>
      </c>
      <c r="J739" s="1">
        <v>-416.66666666666669</v>
      </c>
      <c r="K739">
        <v>-96</v>
      </c>
      <c r="L739">
        <v>0</v>
      </c>
      <c r="M739" s="1">
        <v>-416.66666666666669</v>
      </c>
      <c r="N739">
        <v>32</v>
      </c>
      <c r="O739">
        <v>-48</v>
      </c>
      <c r="P739">
        <v>-128</v>
      </c>
      <c r="Q739" s="1">
        <v>-416.66666666666669</v>
      </c>
      <c r="R739">
        <v>8</v>
      </c>
      <c r="S739">
        <v>96</v>
      </c>
    </row>
    <row r="740" spans="1:19">
      <c r="A740" t="s">
        <v>147</v>
      </c>
      <c r="B740" s="1">
        <v>-416.66666666666669</v>
      </c>
      <c r="C740">
        <v>0</v>
      </c>
      <c r="D740">
        <v>8</v>
      </c>
      <c r="E740">
        <v>64</v>
      </c>
      <c r="F740">
        <v>0</v>
      </c>
      <c r="G740">
        <v>512</v>
      </c>
      <c r="H740">
        <v>4</v>
      </c>
      <c r="I740">
        <v>0</v>
      </c>
      <c r="J740" s="1">
        <v>-416.66666666666669</v>
      </c>
      <c r="K740">
        <v>32</v>
      </c>
      <c r="L740">
        <v>0</v>
      </c>
      <c r="M740" s="1">
        <v>-416.66666666666669</v>
      </c>
      <c r="N740">
        <v>32</v>
      </c>
      <c r="O740">
        <v>80</v>
      </c>
      <c r="P740" s="12">
        <v>128</v>
      </c>
      <c r="Q740" s="1">
        <v>-416.66666666666669</v>
      </c>
      <c r="R740">
        <v>8</v>
      </c>
      <c r="S740">
        <v>0</v>
      </c>
    </row>
    <row r="741" spans="1:19">
      <c r="A741" t="s">
        <v>148</v>
      </c>
      <c r="B741" s="1">
        <v>-416.66666666666669</v>
      </c>
      <c r="C741">
        <v>64</v>
      </c>
      <c r="D741">
        <v>648</v>
      </c>
      <c r="E741">
        <v>0</v>
      </c>
      <c r="F741">
        <v>128</v>
      </c>
      <c r="G741">
        <v>64</v>
      </c>
      <c r="H741">
        <v>32</v>
      </c>
      <c r="I741">
        <v>192</v>
      </c>
      <c r="J741" s="1">
        <v>-416.66666666666669</v>
      </c>
      <c r="K741">
        <v>0</v>
      </c>
      <c r="L741">
        <v>10</v>
      </c>
      <c r="M741" s="1">
        <v>-416.66666666666669</v>
      </c>
      <c r="N741">
        <v>0</v>
      </c>
      <c r="O741">
        <v>16</v>
      </c>
      <c r="P741" s="12">
        <v>32</v>
      </c>
      <c r="Q741" s="1">
        <v>-416.66666666666669</v>
      </c>
      <c r="R741">
        <v>2</v>
      </c>
      <c r="S741">
        <v>-224</v>
      </c>
    </row>
    <row r="742" spans="1:19">
      <c r="A742" t="s">
        <v>149</v>
      </c>
      <c r="B742" s="1">
        <v>-416.66666666666669</v>
      </c>
      <c r="C742">
        <v>0</v>
      </c>
      <c r="D742">
        <v>0</v>
      </c>
      <c r="E742">
        <v>800</v>
      </c>
      <c r="F742">
        <v>0</v>
      </c>
      <c r="G742">
        <v>0</v>
      </c>
      <c r="H742">
        <v>0</v>
      </c>
      <c r="I742">
        <v>0</v>
      </c>
      <c r="J742" s="1">
        <v>-416.66666666666669</v>
      </c>
      <c r="K742">
        <v>0</v>
      </c>
      <c r="L742">
        <v>4</v>
      </c>
      <c r="M742" s="1">
        <v>-416.66666666666669</v>
      </c>
      <c r="N742">
        <v>0</v>
      </c>
      <c r="O742">
        <v>18</v>
      </c>
      <c r="P742" s="12">
        <v>36</v>
      </c>
      <c r="Q742" s="1">
        <v>-416.66666666666669</v>
      </c>
      <c r="R742">
        <v>34</v>
      </c>
      <c r="S742">
        <v>0</v>
      </c>
    </row>
    <row r="743" spans="1:19">
      <c r="A743" t="s">
        <v>61</v>
      </c>
      <c r="B743" s="1">
        <v>-416.66666666666669</v>
      </c>
      <c r="C743">
        <v>48</v>
      </c>
      <c r="D743">
        <v>4</v>
      </c>
      <c r="E743">
        <v>0</v>
      </c>
      <c r="F743">
        <v>0</v>
      </c>
      <c r="G743">
        <v>196</v>
      </c>
      <c r="H743">
        <v>544</v>
      </c>
      <c r="I743">
        <v>0</v>
      </c>
      <c r="J743" s="1">
        <v>-416.66666666666669</v>
      </c>
      <c r="K743">
        <v>-128</v>
      </c>
      <c r="L743">
        <v>-108</v>
      </c>
      <c r="M743" s="1">
        <v>-416.66666666666669</v>
      </c>
      <c r="N743">
        <v>68</v>
      </c>
      <c r="O743">
        <v>-78</v>
      </c>
      <c r="P743">
        <v>-224</v>
      </c>
      <c r="Q743" s="1">
        <v>-416.66666666666669</v>
      </c>
      <c r="R743">
        <v>2</v>
      </c>
      <c r="S743">
        <v>20</v>
      </c>
    </row>
    <row r="744" spans="1:19">
      <c r="A744" t="s">
        <v>150</v>
      </c>
      <c r="B744" s="1">
        <v>-416.66666666666669</v>
      </c>
      <c r="C744">
        <v>0</v>
      </c>
      <c r="D744">
        <v>4</v>
      </c>
      <c r="E744">
        <v>264</v>
      </c>
      <c r="F744">
        <v>0</v>
      </c>
      <c r="G744">
        <v>0</v>
      </c>
      <c r="H744">
        <v>4</v>
      </c>
      <c r="I744">
        <v>256</v>
      </c>
      <c r="J744" s="1">
        <v>-416.66666666666669</v>
      </c>
      <c r="K744">
        <v>0</v>
      </c>
      <c r="L744">
        <v>0</v>
      </c>
      <c r="M744" s="1">
        <v>-416.66666666666669</v>
      </c>
      <c r="N744">
        <v>8</v>
      </c>
      <c r="O744">
        <v>-116</v>
      </c>
      <c r="P744">
        <v>-240</v>
      </c>
      <c r="Q744" s="1">
        <v>-416.66666666666669</v>
      </c>
      <c r="R744">
        <v>0</v>
      </c>
      <c r="S744">
        <v>66</v>
      </c>
    </row>
    <row r="745" spans="1:19">
      <c r="A745" t="s">
        <v>151</v>
      </c>
      <c r="B745" s="1">
        <v>-416.66666666666669</v>
      </c>
      <c r="C745">
        <v>8</v>
      </c>
      <c r="D745">
        <v>0</v>
      </c>
      <c r="E745">
        <v>272</v>
      </c>
      <c r="F745" t="s">
        <v>152</v>
      </c>
      <c r="J745" s="1"/>
      <c r="M745" s="1"/>
    </row>
    <row r="746" spans="1:19">
      <c r="A746" t="s">
        <v>71</v>
      </c>
      <c r="B746" s="1">
        <v>-416.66666666666669</v>
      </c>
      <c r="C746">
        <v>544</v>
      </c>
      <c r="D746">
        <v>272</v>
      </c>
      <c r="E746">
        <v>68</v>
      </c>
      <c r="F746">
        <v>192</v>
      </c>
      <c r="G746">
        <v>128</v>
      </c>
      <c r="H746">
        <v>0</v>
      </c>
      <c r="I746">
        <v>0</v>
      </c>
      <c r="J746" s="1">
        <v>-416.66666666666669</v>
      </c>
      <c r="K746">
        <v>8</v>
      </c>
      <c r="L746">
        <v>-32</v>
      </c>
      <c r="M746" s="1">
        <v>-416.66666666666669</v>
      </c>
      <c r="N746">
        <v>112</v>
      </c>
      <c r="O746">
        <v>88</v>
      </c>
      <c r="P746" t="s">
        <v>54</v>
      </c>
      <c r="Q746">
        <v>72</v>
      </c>
      <c r="R746">
        <v>116</v>
      </c>
    </row>
    <row r="747" spans="1:19">
      <c r="A747" t="s">
        <v>72</v>
      </c>
      <c r="B747" s="1">
        <v>-416.66666666666669</v>
      </c>
      <c r="C747">
        <v>32</v>
      </c>
      <c r="D747">
        <v>132</v>
      </c>
      <c r="E747">
        <v>0</v>
      </c>
      <c r="F747">
        <v>0</v>
      </c>
      <c r="G747">
        <v>528</v>
      </c>
      <c r="H747">
        <v>512</v>
      </c>
      <c r="I747">
        <v>384</v>
      </c>
      <c r="J747" s="1">
        <v>-416.66666666666669</v>
      </c>
      <c r="K747">
        <v>2</v>
      </c>
      <c r="L747">
        <v>5</v>
      </c>
      <c r="M747" s="1">
        <v>-416.66666666666669</v>
      </c>
      <c r="N747">
        <v>0</v>
      </c>
      <c r="O747">
        <v>0</v>
      </c>
      <c r="P747" t="s">
        <v>31</v>
      </c>
      <c r="Q747">
        <v>0</v>
      </c>
      <c r="R747">
        <v>132</v>
      </c>
    </row>
    <row r="748" spans="1:19">
      <c r="A748" t="s">
        <v>73</v>
      </c>
      <c r="B748" s="1">
        <v>-416.66666666666669</v>
      </c>
      <c r="C748">
        <v>0</v>
      </c>
      <c r="D748">
        <v>164</v>
      </c>
      <c r="E748">
        <v>0</v>
      </c>
      <c r="F748">
        <v>4</v>
      </c>
      <c r="G748">
        <v>640</v>
      </c>
      <c r="H748">
        <v>196</v>
      </c>
      <c r="I748">
        <v>128</v>
      </c>
      <c r="J748" s="1">
        <v>-416.66666666666669</v>
      </c>
      <c r="K748">
        <v>34</v>
      </c>
      <c r="L748">
        <v>32</v>
      </c>
      <c r="M748" s="1">
        <v>-416.66666666666669</v>
      </c>
      <c r="N748">
        <v>6</v>
      </c>
      <c r="O748">
        <v>11</v>
      </c>
      <c r="P748" t="s">
        <v>59</v>
      </c>
      <c r="Q748">
        <v>-256</v>
      </c>
      <c r="R748">
        <v>32</v>
      </c>
    </row>
    <row r="749" spans="1:19">
      <c r="A749" t="s">
        <v>74</v>
      </c>
      <c r="B749" s="1">
        <v>-416.66666666666669</v>
      </c>
      <c r="C749">
        <v>672</v>
      </c>
      <c r="D749">
        <v>288</v>
      </c>
      <c r="E749">
        <v>44</v>
      </c>
      <c r="F749">
        <v>128</v>
      </c>
      <c r="G749">
        <v>128</v>
      </c>
      <c r="H749">
        <v>36</v>
      </c>
      <c r="I749">
        <v>264</v>
      </c>
      <c r="J749" s="1">
        <v>-416.66666666666669</v>
      </c>
      <c r="K749">
        <v>0</v>
      </c>
      <c r="L749">
        <v>3</v>
      </c>
      <c r="M749" s="1">
        <v>-416.66666666666669</v>
      </c>
      <c r="N749">
        <v>0</v>
      </c>
      <c r="O749">
        <v>0</v>
      </c>
      <c r="P749" t="s">
        <v>31</v>
      </c>
      <c r="Q749">
        <v>0</v>
      </c>
      <c r="R749">
        <v>128</v>
      </c>
    </row>
    <row r="750" spans="1:19">
      <c r="A750" t="s">
        <v>75</v>
      </c>
      <c r="B750" s="1">
        <v>-416.66666666666669</v>
      </c>
      <c r="C750">
        <v>32</v>
      </c>
      <c r="D750">
        <v>0</v>
      </c>
      <c r="E750">
        <v>664</v>
      </c>
      <c r="F750">
        <v>264</v>
      </c>
      <c r="G750">
        <v>24</v>
      </c>
      <c r="H750">
        <v>80</v>
      </c>
      <c r="I750">
        <v>32</v>
      </c>
      <c r="J750" s="1">
        <v>-416.66666666666669</v>
      </c>
      <c r="K750">
        <v>0</v>
      </c>
      <c r="L750">
        <v>24</v>
      </c>
      <c r="M750" s="1">
        <v>-416.66666666666669</v>
      </c>
      <c r="N750">
        <v>132</v>
      </c>
      <c r="O750">
        <v>84</v>
      </c>
      <c r="P750" t="s">
        <v>56</v>
      </c>
      <c r="Q750">
        <v>-192</v>
      </c>
      <c r="R750">
        <v>50</v>
      </c>
    </row>
    <row r="751" spans="1:19">
      <c r="A751" t="s">
        <v>76</v>
      </c>
      <c r="B751" s="1">
        <v>-416.66666666666669</v>
      </c>
      <c r="C751">
        <v>32</v>
      </c>
      <c r="D751">
        <v>0</v>
      </c>
      <c r="E751">
        <v>256</v>
      </c>
      <c r="F751">
        <v>192</v>
      </c>
      <c r="G751">
        <v>4</v>
      </c>
      <c r="H751">
        <v>288</v>
      </c>
      <c r="I751">
        <v>8</v>
      </c>
      <c r="J751" s="1">
        <v>-416.66666666666669</v>
      </c>
      <c r="K751">
        <v>-128</v>
      </c>
      <c r="L751">
        <v>6</v>
      </c>
      <c r="M751" s="1">
        <v>-416.66666666666669</v>
      </c>
      <c r="N751">
        <v>-186</v>
      </c>
      <c r="O751">
        <v>-87</v>
      </c>
      <c r="P751" t="s">
        <v>34</v>
      </c>
      <c r="Q751">
        <v>128</v>
      </c>
      <c r="R751">
        <v>132</v>
      </c>
    </row>
    <row r="752" spans="1:19">
      <c r="A752" t="s">
        <v>77</v>
      </c>
      <c r="B752" s="1">
        <v>-416.66666666666669</v>
      </c>
      <c r="C752">
        <v>16</v>
      </c>
      <c r="D752">
        <v>16</v>
      </c>
      <c r="E752">
        <v>16</v>
      </c>
      <c r="F752">
        <v>20</v>
      </c>
      <c r="G752">
        <v>168</v>
      </c>
      <c r="H752">
        <v>64</v>
      </c>
      <c r="I752">
        <v>672</v>
      </c>
      <c r="J752" s="1">
        <v>-416.66666666666669</v>
      </c>
      <c r="K752">
        <v>34</v>
      </c>
      <c r="L752">
        <v>16</v>
      </c>
      <c r="M752" s="1">
        <v>-416.66666666666669</v>
      </c>
      <c r="N752">
        <v>26</v>
      </c>
      <c r="O752">
        <v>-114</v>
      </c>
      <c r="P752" t="s">
        <v>78</v>
      </c>
      <c r="Q752">
        <v>136</v>
      </c>
      <c r="R752">
        <v>0</v>
      </c>
    </row>
    <row r="753" spans="1:18">
      <c r="A753" t="s">
        <v>79</v>
      </c>
      <c r="B753" s="1">
        <v>-416.66666666666669</v>
      </c>
      <c r="C753">
        <v>128</v>
      </c>
      <c r="D753">
        <v>12</v>
      </c>
      <c r="E753">
        <v>0</v>
      </c>
      <c r="F753">
        <v>40</v>
      </c>
      <c r="G753">
        <v>8</v>
      </c>
      <c r="H753">
        <v>0</v>
      </c>
      <c r="I753">
        <v>520</v>
      </c>
      <c r="J753" s="1">
        <v>-416.66666666666669</v>
      </c>
      <c r="K753">
        <v>80</v>
      </c>
      <c r="L753">
        <v>56</v>
      </c>
      <c r="M753" s="1">
        <v>-416.66666666666669</v>
      </c>
      <c r="N753">
        <v>0</v>
      </c>
      <c r="O753">
        <v>4</v>
      </c>
      <c r="P753" t="s">
        <v>33</v>
      </c>
      <c r="Q753">
        <v>8</v>
      </c>
      <c r="R753">
        <v>4</v>
      </c>
    </row>
    <row r="754" spans="1:18">
      <c r="A754" t="s">
        <v>80</v>
      </c>
      <c r="B754" s="1">
        <v>-416.66666666666669</v>
      </c>
      <c r="C754">
        <v>8</v>
      </c>
      <c r="D754">
        <v>8</v>
      </c>
      <c r="E754">
        <v>384</v>
      </c>
      <c r="F754">
        <v>128</v>
      </c>
      <c r="G754">
        <v>672</v>
      </c>
      <c r="H754">
        <v>128</v>
      </c>
      <c r="I754">
        <v>224</v>
      </c>
      <c r="J754" s="1">
        <v>-416.66666666666669</v>
      </c>
      <c r="K754">
        <v>32</v>
      </c>
      <c r="L754">
        <v>16</v>
      </c>
      <c r="M754" s="1">
        <v>-416.66666666666669</v>
      </c>
      <c r="N754">
        <v>192</v>
      </c>
      <c r="O754">
        <v>99</v>
      </c>
      <c r="P754" t="s">
        <v>67</v>
      </c>
      <c r="Q754">
        <v>-128</v>
      </c>
      <c r="R754">
        <v>84</v>
      </c>
    </row>
    <row r="755" spans="1:18">
      <c r="A755" t="s">
        <v>81</v>
      </c>
      <c r="B755" s="1">
        <v>-416.66666666666669</v>
      </c>
      <c r="C755">
        <v>8</v>
      </c>
      <c r="D755">
        <v>352</v>
      </c>
      <c r="E755">
        <v>0</v>
      </c>
      <c r="F755">
        <v>16</v>
      </c>
      <c r="G755">
        <v>48</v>
      </c>
      <c r="H755">
        <v>36</v>
      </c>
      <c r="I755">
        <v>256</v>
      </c>
      <c r="J755" s="1">
        <v>-416.66666666666669</v>
      </c>
      <c r="K755">
        <v>66</v>
      </c>
      <c r="L755">
        <v>8</v>
      </c>
      <c r="M755" s="1">
        <v>-416.66666666666669</v>
      </c>
      <c r="N755">
        <v>0</v>
      </c>
      <c r="O755">
        <v>80</v>
      </c>
      <c r="P755" s="12">
        <v>6.666666666666667</v>
      </c>
      <c r="Q755">
        <v>0</v>
      </c>
      <c r="R755">
        <v>212</v>
      </c>
    </row>
    <row r="756" spans="1:18">
      <c r="A756" t="s">
        <v>82</v>
      </c>
      <c r="B756" s="1">
        <v>-416.66666666666669</v>
      </c>
      <c r="C756">
        <v>512</v>
      </c>
      <c r="D756">
        <v>160</v>
      </c>
      <c r="E756">
        <v>12</v>
      </c>
      <c r="F756">
        <v>68</v>
      </c>
      <c r="G756">
        <v>128</v>
      </c>
      <c r="H756">
        <v>204</v>
      </c>
      <c r="I756">
        <v>492</v>
      </c>
      <c r="J756" s="1">
        <v>-416.66666666666669</v>
      </c>
      <c r="K756">
        <v>8</v>
      </c>
      <c r="L756">
        <v>0</v>
      </c>
      <c r="M756" s="1">
        <v>-416.66666666666669</v>
      </c>
      <c r="N756">
        <v>80</v>
      </c>
      <c r="O756">
        <v>-24</v>
      </c>
      <c r="P756" t="s">
        <v>83</v>
      </c>
      <c r="Q756">
        <v>0</v>
      </c>
      <c r="R756">
        <v>64</v>
      </c>
    </row>
    <row r="757" spans="1:18">
      <c r="A757" t="s">
        <v>84</v>
      </c>
      <c r="B757" s="1">
        <v>-416.66666666666669</v>
      </c>
      <c r="C757">
        <v>128</v>
      </c>
      <c r="D757">
        <v>16</v>
      </c>
      <c r="E757">
        <v>64</v>
      </c>
      <c r="F757">
        <v>128</v>
      </c>
      <c r="G757">
        <v>0</v>
      </c>
      <c r="H757">
        <v>36</v>
      </c>
      <c r="I757">
        <v>8</v>
      </c>
      <c r="J757" s="1">
        <v>-416.66666666666669</v>
      </c>
      <c r="K757">
        <v>34</v>
      </c>
      <c r="L757">
        <v>72</v>
      </c>
      <c r="M757" s="1">
        <v>-416.66666666666669</v>
      </c>
      <c r="N757">
        <v>32</v>
      </c>
      <c r="O757">
        <v>19</v>
      </c>
      <c r="P757" t="s">
        <v>67</v>
      </c>
      <c r="Q757">
        <v>-158</v>
      </c>
      <c r="R757">
        <v>132</v>
      </c>
    </row>
    <row r="758" spans="1:18">
      <c r="A758" t="s">
        <v>85</v>
      </c>
      <c r="B758" s="1">
        <v>-416.66666666666669</v>
      </c>
      <c r="C758">
        <v>204</v>
      </c>
      <c r="D758">
        <v>160</v>
      </c>
      <c r="E758">
        <v>68</v>
      </c>
      <c r="F758">
        <v>260</v>
      </c>
      <c r="G758">
        <v>552</v>
      </c>
      <c r="H758">
        <v>4</v>
      </c>
      <c r="I758">
        <v>0</v>
      </c>
      <c r="J758" s="1">
        <v>-416.66666666666669</v>
      </c>
      <c r="K758">
        <v>2</v>
      </c>
      <c r="L758">
        <v>80</v>
      </c>
      <c r="M758" s="1">
        <v>-416.66666666666669</v>
      </c>
      <c r="N758">
        <v>168</v>
      </c>
      <c r="O758">
        <v>118</v>
      </c>
      <c r="P758" t="s">
        <v>47</v>
      </c>
      <c r="Q758">
        <v>128</v>
      </c>
      <c r="R758">
        <v>-256</v>
      </c>
    </row>
    <row r="759" spans="1:18">
      <c r="A759" t="s">
        <v>86</v>
      </c>
      <c r="B759" s="1">
        <v>-416.66666666666669</v>
      </c>
      <c r="C759">
        <v>164</v>
      </c>
      <c r="D759">
        <v>260</v>
      </c>
      <c r="E759">
        <v>904</v>
      </c>
      <c r="F759">
        <v>132</v>
      </c>
      <c r="G759">
        <v>208</v>
      </c>
      <c r="H759">
        <v>528</v>
      </c>
      <c r="I759">
        <v>168</v>
      </c>
      <c r="J759" s="1">
        <v>-416.66666666666669</v>
      </c>
      <c r="K759">
        <v>2</v>
      </c>
      <c r="L759">
        <v>8</v>
      </c>
      <c r="M759" s="1">
        <v>-416.66666666666669</v>
      </c>
      <c r="N759">
        <v>42</v>
      </c>
      <c r="O759">
        <v>53</v>
      </c>
      <c r="P759" t="s">
        <v>54</v>
      </c>
      <c r="Q759">
        <v>2</v>
      </c>
      <c r="R759">
        <v>196</v>
      </c>
    </row>
    <row r="760" spans="1:18">
      <c r="A760" t="s">
        <v>87</v>
      </c>
      <c r="B760" s="1">
        <v>-416.66666666666669</v>
      </c>
      <c r="C760">
        <v>4</v>
      </c>
      <c r="D760">
        <v>256</v>
      </c>
      <c r="E760">
        <v>64</v>
      </c>
      <c r="F760">
        <v>948</v>
      </c>
      <c r="G760">
        <v>788</v>
      </c>
      <c r="H760">
        <v>4</v>
      </c>
      <c r="I760">
        <v>140</v>
      </c>
      <c r="J760" s="1">
        <v>-416.66666666666669</v>
      </c>
      <c r="K760">
        <v>18</v>
      </c>
      <c r="L760">
        <v>26</v>
      </c>
      <c r="M760" s="1">
        <v>-416.66666666666669</v>
      </c>
      <c r="N760">
        <v>128</v>
      </c>
      <c r="O760">
        <v>83</v>
      </c>
      <c r="P760" t="s">
        <v>40</v>
      </c>
      <c r="Q760">
        <v>18</v>
      </c>
      <c r="R760">
        <v>32</v>
      </c>
    </row>
    <row r="761" spans="1:18">
      <c r="A761" t="s">
        <v>88</v>
      </c>
      <c r="B761" s="1">
        <v>-416.66666666666669</v>
      </c>
      <c r="C761">
        <v>512</v>
      </c>
      <c r="D761">
        <v>0</v>
      </c>
      <c r="E761">
        <v>296</v>
      </c>
      <c r="F761">
        <v>544</v>
      </c>
      <c r="G761">
        <v>24</v>
      </c>
      <c r="H761">
        <v>132</v>
      </c>
      <c r="I761">
        <v>592</v>
      </c>
      <c r="J761" s="1">
        <v>-416.66666666666669</v>
      </c>
      <c r="K761">
        <v>34</v>
      </c>
      <c r="L761">
        <v>9</v>
      </c>
      <c r="M761" s="1">
        <v>-416.66666666666669</v>
      </c>
      <c r="N761">
        <v>-256</v>
      </c>
      <c r="O761">
        <v>-128</v>
      </c>
      <c r="P761" t="s">
        <v>31</v>
      </c>
      <c r="Q761">
        <v>0</v>
      </c>
      <c r="R761">
        <v>64</v>
      </c>
    </row>
    <row r="762" spans="1:18">
      <c r="A762" t="s">
        <v>89</v>
      </c>
      <c r="B762" s="1">
        <v>-416.66666666666669</v>
      </c>
      <c r="C762">
        <v>32</v>
      </c>
      <c r="D762">
        <v>0</v>
      </c>
      <c r="E762">
        <v>772</v>
      </c>
      <c r="F762">
        <v>304</v>
      </c>
      <c r="G762">
        <v>168</v>
      </c>
      <c r="H762">
        <v>0</v>
      </c>
      <c r="I762">
        <v>44</v>
      </c>
      <c r="J762" s="1">
        <v>-416.66666666666669</v>
      </c>
      <c r="K762">
        <v>16</v>
      </c>
      <c r="L762">
        <v>16</v>
      </c>
      <c r="M762" s="1">
        <v>-416.66666666666669</v>
      </c>
      <c r="N762">
        <v>16</v>
      </c>
      <c r="O762">
        <v>72</v>
      </c>
      <c r="P762" s="12">
        <v>5.333333333333333</v>
      </c>
      <c r="Q762">
        <v>2</v>
      </c>
      <c r="R762">
        <v>24</v>
      </c>
    </row>
    <row r="763" spans="1:18">
      <c r="A763" t="s">
        <v>90</v>
      </c>
      <c r="B763" s="1">
        <v>-416.66666666666669</v>
      </c>
      <c r="C763">
        <v>128</v>
      </c>
      <c r="D763">
        <v>512</v>
      </c>
      <c r="E763">
        <v>108</v>
      </c>
      <c r="F763">
        <v>656</v>
      </c>
      <c r="G763">
        <v>384</v>
      </c>
      <c r="H763">
        <v>768</v>
      </c>
      <c r="I763">
        <v>520</v>
      </c>
      <c r="J763" s="1">
        <v>-416.66666666666669</v>
      </c>
      <c r="K763">
        <v>98</v>
      </c>
      <c r="L763">
        <v>67</v>
      </c>
      <c r="M763" s="1">
        <v>-416.66666666666669</v>
      </c>
      <c r="N763">
        <v>-236</v>
      </c>
      <c r="O763">
        <v>-102</v>
      </c>
      <c r="P763" s="12" t="s">
        <v>38</v>
      </c>
      <c r="Q763">
        <v>32</v>
      </c>
      <c r="R763">
        <v>4</v>
      </c>
    </row>
    <row r="764" spans="1:18">
      <c r="A764" t="s">
        <v>91</v>
      </c>
      <c r="B764" s="1">
        <v>-416.66666666666669</v>
      </c>
      <c r="C764">
        <v>72</v>
      </c>
      <c r="D764">
        <v>256</v>
      </c>
      <c r="E764">
        <v>132</v>
      </c>
      <c r="F764">
        <v>192</v>
      </c>
      <c r="G764">
        <v>144</v>
      </c>
      <c r="H764">
        <v>148</v>
      </c>
      <c r="I764">
        <v>64</v>
      </c>
      <c r="J764" s="1">
        <v>-416.66666666666669</v>
      </c>
      <c r="K764">
        <v>0</v>
      </c>
      <c r="L764">
        <v>0</v>
      </c>
      <c r="M764" s="1">
        <v>-416.66666666666669</v>
      </c>
      <c r="N764">
        <v>2</v>
      </c>
      <c r="O764">
        <v>33</v>
      </c>
      <c r="P764" t="s">
        <v>54</v>
      </c>
      <c r="Q764">
        <v>16</v>
      </c>
      <c r="R764">
        <v>4</v>
      </c>
    </row>
    <row r="765" spans="1:18">
      <c r="A765" t="s">
        <v>92</v>
      </c>
      <c r="B765" s="1">
        <v>-416.66666666666669</v>
      </c>
      <c r="C765">
        <v>0</v>
      </c>
      <c r="D765">
        <v>16</v>
      </c>
      <c r="E765">
        <v>72</v>
      </c>
      <c r="F765">
        <v>20</v>
      </c>
      <c r="G765">
        <v>160</v>
      </c>
      <c r="H765">
        <v>0</v>
      </c>
      <c r="I765">
        <v>72</v>
      </c>
      <c r="J765" s="1">
        <v>-416.66666666666669</v>
      </c>
      <c r="K765">
        <v>-46</v>
      </c>
      <c r="L765">
        <v>-127</v>
      </c>
      <c r="M765" s="1">
        <v>-416.66666666666669</v>
      </c>
      <c r="N765">
        <v>34</v>
      </c>
      <c r="O765">
        <v>81</v>
      </c>
      <c r="P765" s="12">
        <v>5.333333333333333</v>
      </c>
      <c r="Q765">
        <v>-190</v>
      </c>
      <c r="R765">
        <v>4</v>
      </c>
    </row>
    <row r="766" spans="1:18">
      <c r="A766" t="s">
        <v>93</v>
      </c>
      <c r="B766" s="1">
        <v>-416.66666666666669</v>
      </c>
      <c r="C766">
        <v>548</v>
      </c>
      <c r="D766">
        <v>292</v>
      </c>
      <c r="E766">
        <v>48</v>
      </c>
      <c r="F766">
        <v>136</v>
      </c>
      <c r="G766">
        <v>424</v>
      </c>
      <c r="H766">
        <v>4</v>
      </c>
      <c r="I766">
        <v>296</v>
      </c>
      <c r="J766" s="1">
        <v>-416.66666666666669</v>
      </c>
      <c r="K766">
        <v>2</v>
      </c>
      <c r="L766">
        <v>0</v>
      </c>
      <c r="M766" s="1">
        <v>-416.66666666666669</v>
      </c>
      <c r="N766">
        <v>0</v>
      </c>
      <c r="O766">
        <v>13</v>
      </c>
      <c r="P766" t="s">
        <v>37</v>
      </c>
      <c r="Q766">
        <v>128</v>
      </c>
      <c r="R766">
        <v>68</v>
      </c>
    </row>
    <row r="767" spans="1:18">
      <c r="A767" t="s">
        <v>94</v>
      </c>
      <c r="B767" s="1">
        <v>-416.66666666666669</v>
      </c>
      <c r="C767">
        <v>32</v>
      </c>
      <c r="D767">
        <v>256</v>
      </c>
      <c r="E767">
        <v>0</v>
      </c>
      <c r="F767">
        <v>516</v>
      </c>
      <c r="G767">
        <v>128</v>
      </c>
      <c r="H767">
        <v>256</v>
      </c>
      <c r="I767">
        <v>168</v>
      </c>
      <c r="J767" s="1">
        <v>-416.66666666666669</v>
      </c>
      <c r="K767">
        <v>-128</v>
      </c>
      <c r="L767">
        <v>0</v>
      </c>
      <c r="M767" s="1">
        <v>-416.66666666666669</v>
      </c>
      <c r="N767">
        <v>136</v>
      </c>
      <c r="O767">
        <v>85</v>
      </c>
      <c r="P767" t="s">
        <v>39</v>
      </c>
      <c r="Q767">
        <v>8</v>
      </c>
      <c r="R767">
        <v>-108</v>
      </c>
    </row>
    <row r="768" spans="1:18">
      <c r="A768" t="s">
        <v>95</v>
      </c>
      <c r="B768" s="1">
        <v>-416.66666666666669</v>
      </c>
      <c r="C768">
        <v>588</v>
      </c>
      <c r="D768">
        <v>256</v>
      </c>
      <c r="E768">
        <v>512</v>
      </c>
      <c r="F768">
        <v>48</v>
      </c>
      <c r="G768">
        <v>676</v>
      </c>
      <c r="H768">
        <v>272</v>
      </c>
      <c r="I768">
        <v>944</v>
      </c>
      <c r="J768" s="1">
        <v>-416.66666666666669</v>
      </c>
      <c r="K768">
        <v>2</v>
      </c>
      <c r="L768">
        <v>16</v>
      </c>
      <c r="M768" s="1">
        <v>-416.66666666666669</v>
      </c>
      <c r="N768">
        <v>128</v>
      </c>
      <c r="O768">
        <v>-43</v>
      </c>
      <c r="P768" t="s">
        <v>96</v>
      </c>
      <c r="Q768">
        <v>6</v>
      </c>
      <c r="R768">
        <v>96</v>
      </c>
    </row>
    <row r="769" spans="1:18">
      <c r="A769" t="s">
        <v>97</v>
      </c>
      <c r="B769" s="1">
        <v>-416.66666666666669</v>
      </c>
      <c r="C769">
        <v>64</v>
      </c>
      <c r="D769">
        <v>52</v>
      </c>
      <c r="E769">
        <v>64</v>
      </c>
      <c r="F769">
        <v>128</v>
      </c>
      <c r="G769">
        <v>0</v>
      </c>
      <c r="H769">
        <v>4</v>
      </c>
      <c r="I769">
        <v>136</v>
      </c>
      <c r="J769" s="1">
        <v>-416.66666666666669</v>
      </c>
      <c r="K769">
        <v>98</v>
      </c>
      <c r="L769">
        <v>32</v>
      </c>
      <c r="M769" s="1">
        <v>-416.66666666666669</v>
      </c>
      <c r="N769">
        <v>0</v>
      </c>
      <c r="O769">
        <v>2</v>
      </c>
      <c r="P769" t="s">
        <v>32</v>
      </c>
      <c r="Q769">
        <v>2</v>
      </c>
      <c r="R769">
        <v>160</v>
      </c>
    </row>
    <row r="770" spans="1:18">
      <c r="A770" t="s">
        <v>98</v>
      </c>
      <c r="B770" s="1">
        <v>-416.66666666666669</v>
      </c>
      <c r="C770">
        <v>32</v>
      </c>
      <c r="D770">
        <v>4</v>
      </c>
      <c r="E770">
        <v>8</v>
      </c>
      <c r="F770">
        <v>80</v>
      </c>
      <c r="G770">
        <v>0</v>
      </c>
      <c r="H770">
        <v>16</v>
      </c>
      <c r="I770">
        <v>72</v>
      </c>
      <c r="J770" s="1">
        <v>-416.66666666666669</v>
      </c>
      <c r="K770">
        <v>-118</v>
      </c>
      <c r="L770">
        <v>-123</v>
      </c>
      <c r="M770" s="1">
        <v>-416.66666666666669</v>
      </c>
      <c r="N770">
        <v>0</v>
      </c>
      <c r="O770">
        <v>0</v>
      </c>
      <c r="P770" t="s">
        <v>31</v>
      </c>
      <c r="Q770">
        <v>0</v>
      </c>
      <c r="R770">
        <v>0</v>
      </c>
    </row>
    <row r="771" spans="1:18">
      <c r="A771" t="s">
        <v>99</v>
      </c>
      <c r="B771" s="1">
        <v>-416.66666666666669</v>
      </c>
      <c r="C771">
        <v>8</v>
      </c>
      <c r="D771">
        <v>512</v>
      </c>
      <c r="E771">
        <v>8</v>
      </c>
      <c r="F771">
        <v>32</v>
      </c>
      <c r="G771">
        <v>536</v>
      </c>
      <c r="H771">
        <v>164</v>
      </c>
      <c r="I771">
        <v>272</v>
      </c>
      <c r="J771" s="1">
        <v>-416.66666666666669</v>
      </c>
      <c r="K771">
        <v>2</v>
      </c>
      <c r="L771">
        <v>0</v>
      </c>
      <c r="M771" s="1">
        <v>-416.66666666666669</v>
      </c>
      <c r="N771">
        <v>36</v>
      </c>
      <c r="O771">
        <v>52</v>
      </c>
      <c r="P771" t="s">
        <v>47</v>
      </c>
      <c r="Q771">
        <v>2</v>
      </c>
      <c r="R771">
        <v>132</v>
      </c>
    </row>
    <row r="772" spans="1:18">
      <c r="A772" t="s">
        <v>100</v>
      </c>
      <c r="B772" s="1">
        <v>-416.66666666666669</v>
      </c>
      <c r="C772">
        <v>12</v>
      </c>
      <c r="D772">
        <v>512</v>
      </c>
      <c r="E772">
        <v>808</v>
      </c>
      <c r="F772">
        <v>132</v>
      </c>
      <c r="G772">
        <v>320</v>
      </c>
      <c r="H772">
        <v>128</v>
      </c>
      <c r="I772">
        <v>0</v>
      </c>
      <c r="J772" s="1">
        <v>-416.66666666666669</v>
      </c>
      <c r="K772">
        <v>10</v>
      </c>
      <c r="L772">
        <v>8</v>
      </c>
      <c r="M772" s="1">
        <v>-416.66666666666669</v>
      </c>
      <c r="N772">
        <v>208</v>
      </c>
      <c r="O772">
        <v>188</v>
      </c>
      <c r="P772" s="12">
        <v>7</v>
      </c>
      <c r="Q772">
        <v>2</v>
      </c>
      <c r="R772">
        <v>128</v>
      </c>
    </row>
    <row r="773" spans="1:18">
      <c r="A773" t="s">
        <v>101</v>
      </c>
      <c r="B773" s="1">
        <v>-416.66666666666669</v>
      </c>
      <c r="C773">
        <v>0</v>
      </c>
      <c r="D773">
        <v>528</v>
      </c>
      <c r="E773">
        <v>360</v>
      </c>
      <c r="F773">
        <v>8</v>
      </c>
      <c r="G773">
        <v>32</v>
      </c>
      <c r="H773">
        <v>516</v>
      </c>
      <c r="I773">
        <v>264</v>
      </c>
      <c r="J773" s="1">
        <v>-416.66666666666669</v>
      </c>
      <c r="K773">
        <v>2</v>
      </c>
      <c r="L773">
        <v>-77</v>
      </c>
      <c r="M773" s="1">
        <v>-416.66666666666669</v>
      </c>
      <c r="N773">
        <v>8</v>
      </c>
      <c r="O773">
        <v>30</v>
      </c>
      <c r="P773" t="s">
        <v>41</v>
      </c>
      <c r="Q773">
        <v>56</v>
      </c>
      <c r="R773">
        <v>4</v>
      </c>
    </row>
    <row r="774" spans="1:18">
      <c r="A774" t="s">
        <v>102</v>
      </c>
      <c r="B774" s="1">
        <v>-416.66666666666669</v>
      </c>
      <c r="C774">
        <v>836</v>
      </c>
      <c r="D774">
        <v>32</v>
      </c>
      <c r="E774">
        <v>144</v>
      </c>
      <c r="F774">
        <v>128</v>
      </c>
      <c r="G774">
        <v>8</v>
      </c>
      <c r="H774">
        <v>192</v>
      </c>
      <c r="I774">
        <v>232</v>
      </c>
      <c r="J774" s="1">
        <v>-416.66666666666669</v>
      </c>
      <c r="K774">
        <v>0</v>
      </c>
      <c r="L774">
        <v>64</v>
      </c>
      <c r="M774" s="1">
        <v>-416.66666666666669</v>
      </c>
      <c r="N774">
        <v>64</v>
      </c>
      <c r="O774">
        <v>68</v>
      </c>
      <c r="P774" t="s">
        <v>45</v>
      </c>
      <c r="Q774">
        <v>16</v>
      </c>
      <c r="R774">
        <v>168</v>
      </c>
    </row>
    <row r="775" spans="1:18">
      <c r="A775" t="s">
        <v>103</v>
      </c>
      <c r="B775" s="1">
        <v>-416.66666666666669</v>
      </c>
      <c r="C775">
        <v>132</v>
      </c>
      <c r="D775">
        <v>48</v>
      </c>
      <c r="E775">
        <v>264</v>
      </c>
      <c r="F775">
        <v>36</v>
      </c>
      <c r="G775">
        <v>68</v>
      </c>
      <c r="H775">
        <v>768</v>
      </c>
      <c r="I775">
        <v>264</v>
      </c>
      <c r="J775" s="1">
        <v>-416.66666666666669</v>
      </c>
      <c r="K775">
        <v>2</v>
      </c>
      <c r="L775">
        <v>7</v>
      </c>
      <c r="M775" s="1">
        <v>-416.66666666666669</v>
      </c>
      <c r="N775">
        <v>0</v>
      </c>
      <c r="O775">
        <v>-64</v>
      </c>
      <c r="P775" t="s">
        <v>83</v>
      </c>
      <c r="Q775">
        <v>96</v>
      </c>
      <c r="R775">
        <v>128</v>
      </c>
    </row>
    <row r="776" spans="1:18">
      <c r="A776" t="s">
        <v>104</v>
      </c>
      <c r="B776" s="1">
        <v>-416.66666666666669</v>
      </c>
      <c r="C776">
        <v>8</v>
      </c>
      <c r="D776">
        <v>232</v>
      </c>
      <c r="E776">
        <v>92</v>
      </c>
      <c r="F776">
        <v>592</v>
      </c>
      <c r="G776">
        <v>208</v>
      </c>
      <c r="H776">
        <v>320</v>
      </c>
      <c r="I776">
        <v>672</v>
      </c>
      <c r="J776" s="1">
        <v>-416.66666666666669</v>
      </c>
      <c r="K776">
        <v>34</v>
      </c>
      <c r="L776">
        <v>9</v>
      </c>
      <c r="M776" s="1">
        <v>-416.66666666666669</v>
      </c>
      <c r="N776">
        <v>16</v>
      </c>
      <c r="O776">
        <v>72</v>
      </c>
      <c r="P776" s="12">
        <v>5.333333333333333</v>
      </c>
      <c r="Q776">
        <v>0</v>
      </c>
      <c r="R776">
        <v>160</v>
      </c>
    </row>
    <row r="777" spans="1:18">
      <c r="A777" t="s">
        <v>105</v>
      </c>
      <c r="B777" s="1">
        <v>-416.66666666666669</v>
      </c>
      <c r="C777">
        <v>0</v>
      </c>
      <c r="D777">
        <v>32</v>
      </c>
      <c r="E777">
        <v>72</v>
      </c>
      <c r="F777">
        <v>0</v>
      </c>
      <c r="G777">
        <v>128</v>
      </c>
      <c r="H777">
        <v>0</v>
      </c>
      <c r="I777">
        <v>56</v>
      </c>
      <c r="J777" s="1">
        <v>-416.66666666666669</v>
      </c>
      <c r="K777">
        <v>2</v>
      </c>
      <c r="L777">
        <v>32</v>
      </c>
      <c r="M777" s="1">
        <v>-416.66666666666669</v>
      </c>
      <c r="N777">
        <v>0</v>
      </c>
      <c r="O777">
        <v>0</v>
      </c>
      <c r="P777" t="s">
        <v>31</v>
      </c>
      <c r="Q777">
        <v>192</v>
      </c>
      <c r="R777">
        <v>-256</v>
      </c>
    </row>
    <row r="778" spans="1:18">
      <c r="A778" t="s">
        <v>106</v>
      </c>
      <c r="B778" s="1">
        <v>-416.66666666666669</v>
      </c>
      <c r="C778">
        <v>160</v>
      </c>
      <c r="D778">
        <v>96</v>
      </c>
      <c r="E778">
        <v>288</v>
      </c>
      <c r="F778">
        <v>32</v>
      </c>
      <c r="G778">
        <v>128</v>
      </c>
      <c r="H778">
        <v>128</v>
      </c>
      <c r="I778">
        <v>0</v>
      </c>
      <c r="J778" s="1">
        <v>-416.66666666666669</v>
      </c>
      <c r="K778">
        <v>16</v>
      </c>
      <c r="L778">
        <v>8</v>
      </c>
      <c r="M778" s="1">
        <v>-416.66666666666669</v>
      </c>
      <c r="N778">
        <v>-122</v>
      </c>
      <c r="O778">
        <v>-153</v>
      </c>
      <c r="P778" t="s">
        <v>107</v>
      </c>
      <c r="Q778">
        <v>0</v>
      </c>
      <c r="R778">
        <v>18</v>
      </c>
    </row>
    <row r="779" spans="1:18">
      <c r="A779" t="s">
        <v>108</v>
      </c>
      <c r="B779" s="1">
        <v>-416.66666666666669</v>
      </c>
      <c r="C779">
        <v>4</v>
      </c>
      <c r="D779">
        <v>44</v>
      </c>
      <c r="E779">
        <v>32</v>
      </c>
      <c r="F779">
        <v>32</v>
      </c>
      <c r="G779">
        <v>64</v>
      </c>
      <c r="H779">
        <v>164</v>
      </c>
      <c r="I779">
        <v>768</v>
      </c>
      <c r="J779" s="1">
        <v>-416.66666666666669</v>
      </c>
      <c r="K779">
        <v>-90</v>
      </c>
      <c r="L779">
        <v>0</v>
      </c>
      <c r="M779" s="1">
        <v>-416.66666666666669</v>
      </c>
      <c r="N779">
        <v>192</v>
      </c>
      <c r="O779">
        <v>121</v>
      </c>
      <c r="P779" t="s">
        <v>42</v>
      </c>
      <c r="Q779">
        <v>18</v>
      </c>
      <c r="R779">
        <v>0</v>
      </c>
    </row>
    <row r="780" spans="1:18">
      <c r="A780" t="s">
        <v>109</v>
      </c>
      <c r="B780" s="1">
        <v>-416.66666666666669</v>
      </c>
      <c r="C780">
        <v>0</v>
      </c>
      <c r="D780">
        <v>520</v>
      </c>
      <c r="E780">
        <v>392</v>
      </c>
      <c r="F780">
        <v>64</v>
      </c>
      <c r="G780">
        <v>64</v>
      </c>
      <c r="H780">
        <v>96</v>
      </c>
      <c r="I780">
        <v>64</v>
      </c>
      <c r="J780" s="1">
        <v>-416.66666666666669</v>
      </c>
      <c r="K780">
        <v>34</v>
      </c>
      <c r="L780">
        <v>2</v>
      </c>
      <c r="M780" s="1">
        <v>-416.66666666666669</v>
      </c>
      <c r="N780">
        <v>176</v>
      </c>
      <c r="O780">
        <v>153</v>
      </c>
      <c r="P780" s="12">
        <v>5.416666666666667</v>
      </c>
      <c r="Q780">
        <v>164</v>
      </c>
      <c r="R780">
        <v>0</v>
      </c>
    </row>
    <row r="781" spans="1:18">
      <c r="A781" t="s">
        <v>110</v>
      </c>
      <c r="B781" s="1">
        <v>-416.66666666666669</v>
      </c>
      <c r="C781">
        <v>0</v>
      </c>
      <c r="D781">
        <v>520</v>
      </c>
      <c r="E781">
        <v>640</v>
      </c>
      <c r="F781">
        <v>160</v>
      </c>
      <c r="G781">
        <v>156</v>
      </c>
      <c r="H781">
        <v>512</v>
      </c>
      <c r="I781">
        <v>8</v>
      </c>
      <c r="J781" s="1">
        <v>-416.66666666666669</v>
      </c>
      <c r="K781">
        <v>18</v>
      </c>
      <c r="L781">
        <v>8</v>
      </c>
      <c r="M781" s="1">
        <v>-416.66666666666669</v>
      </c>
      <c r="N781">
        <v>0</v>
      </c>
      <c r="O781">
        <v>19</v>
      </c>
      <c r="P781" t="s">
        <v>40</v>
      </c>
      <c r="Q781">
        <v>128</v>
      </c>
      <c r="R781">
        <v>-248</v>
      </c>
    </row>
    <row r="782" spans="1:18">
      <c r="A782" t="s">
        <v>111</v>
      </c>
      <c r="B782" s="1">
        <v>-416.66666666666669</v>
      </c>
      <c r="C782">
        <v>256</v>
      </c>
      <c r="D782">
        <v>12</v>
      </c>
      <c r="E782">
        <v>72</v>
      </c>
      <c r="F782">
        <v>64</v>
      </c>
      <c r="G782">
        <v>32</v>
      </c>
      <c r="H782">
        <v>384</v>
      </c>
      <c r="I782">
        <v>0</v>
      </c>
      <c r="J782" s="1">
        <v>-416.66666666666669</v>
      </c>
      <c r="K782">
        <v>32</v>
      </c>
      <c r="L782">
        <v>0</v>
      </c>
      <c r="M782" s="1">
        <v>-416.66666666666669</v>
      </c>
      <c r="N782">
        <v>2</v>
      </c>
      <c r="O782">
        <v>4</v>
      </c>
      <c r="P782" t="s">
        <v>67</v>
      </c>
      <c r="Q782">
        <v>98</v>
      </c>
      <c r="R782">
        <v>34</v>
      </c>
    </row>
    <row r="783" spans="1:18">
      <c r="A783" t="s">
        <v>112</v>
      </c>
      <c r="B783" s="1">
        <v>-416.66666666666669</v>
      </c>
      <c r="C783">
        <v>36</v>
      </c>
      <c r="D783">
        <v>548</v>
      </c>
      <c r="E783">
        <v>864</v>
      </c>
      <c r="F783">
        <v>176</v>
      </c>
      <c r="G783">
        <v>16</v>
      </c>
      <c r="H783">
        <v>0</v>
      </c>
      <c r="I783">
        <v>384</v>
      </c>
      <c r="J783" s="1">
        <v>-416.66666666666669</v>
      </c>
      <c r="K783">
        <v>64</v>
      </c>
      <c r="L783">
        <v>0</v>
      </c>
      <c r="M783" s="1">
        <v>-416.66666666666669</v>
      </c>
      <c r="N783">
        <v>8</v>
      </c>
      <c r="O783">
        <v>24</v>
      </c>
      <c r="P783" t="s">
        <v>60</v>
      </c>
      <c r="Q783">
        <v>0</v>
      </c>
      <c r="R783">
        <v>66</v>
      </c>
    </row>
    <row r="784" spans="1:18">
      <c r="A784" t="s">
        <v>113</v>
      </c>
      <c r="B784" s="1">
        <v>-416.66666666666669</v>
      </c>
      <c r="C784">
        <v>44</v>
      </c>
      <c r="D784">
        <v>516</v>
      </c>
      <c r="E784">
        <v>516</v>
      </c>
      <c r="F784">
        <v>4</v>
      </c>
      <c r="G784">
        <v>540</v>
      </c>
      <c r="H784">
        <v>324</v>
      </c>
      <c r="I784">
        <v>128</v>
      </c>
      <c r="J784" s="1">
        <v>-416.66666666666669</v>
      </c>
      <c r="K784">
        <v>2</v>
      </c>
      <c r="L784">
        <v>82</v>
      </c>
      <c r="M784" s="1">
        <v>-416.66666666666669</v>
      </c>
      <c r="N784">
        <v>64</v>
      </c>
      <c r="O784">
        <v>48</v>
      </c>
      <c r="P784" t="s">
        <v>38</v>
      </c>
      <c r="Q784">
        <v>26</v>
      </c>
      <c r="R784">
        <v>144</v>
      </c>
    </row>
    <row r="785" spans="1:18">
      <c r="A785" t="s">
        <v>114</v>
      </c>
      <c r="B785" s="1">
        <v>-416.66666666666669</v>
      </c>
      <c r="C785">
        <v>20</v>
      </c>
      <c r="D785">
        <v>240</v>
      </c>
      <c r="E785">
        <v>12</v>
      </c>
      <c r="F785">
        <v>8</v>
      </c>
      <c r="G785">
        <v>0</v>
      </c>
      <c r="H785">
        <v>336</v>
      </c>
      <c r="I785">
        <v>712</v>
      </c>
      <c r="J785" s="1">
        <v>-416.66666666666669</v>
      </c>
      <c r="K785">
        <v>-96</v>
      </c>
      <c r="L785">
        <v>1</v>
      </c>
      <c r="M785" s="1">
        <v>-416.66666666666669</v>
      </c>
      <c r="N785">
        <v>0</v>
      </c>
      <c r="O785">
        <v>-120</v>
      </c>
      <c r="P785" t="s">
        <v>115</v>
      </c>
      <c r="Q785">
        <v>66</v>
      </c>
      <c r="R785">
        <v>132</v>
      </c>
    </row>
    <row r="786" spans="1:18">
      <c r="A786" t="s">
        <v>116</v>
      </c>
      <c r="B786" s="1">
        <v>-416.66666666666669</v>
      </c>
      <c r="C786">
        <v>256</v>
      </c>
      <c r="D786">
        <v>32</v>
      </c>
      <c r="E786">
        <v>520</v>
      </c>
      <c r="F786">
        <v>260</v>
      </c>
      <c r="G786">
        <v>772</v>
      </c>
      <c r="H786">
        <v>132</v>
      </c>
      <c r="I786">
        <v>128</v>
      </c>
      <c r="J786" s="1">
        <v>-416.66666666666669</v>
      </c>
      <c r="K786">
        <v>34</v>
      </c>
      <c r="L786">
        <v>0</v>
      </c>
      <c r="M786" s="1">
        <v>-416.66666666666669</v>
      </c>
      <c r="N786">
        <v>16</v>
      </c>
      <c r="O786">
        <v>42</v>
      </c>
      <c r="P786" t="s">
        <v>47</v>
      </c>
      <c r="Q786">
        <v>34</v>
      </c>
    </row>
    <row r="787" spans="1:18">
      <c r="A787" t="s">
        <v>63</v>
      </c>
      <c r="B787" s="1">
        <v>-416.66666666666669</v>
      </c>
      <c r="C787">
        <v>4</v>
      </c>
      <c r="D787">
        <v>32</v>
      </c>
      <c r="E787">
        <v>0</v>
      </c>
      <c r="F787">
        <v>8</v>
      </c>
      <c r="G787">
        <v>80</v>
      </c>
      <c r="H787">
        <v>24</v>
      </c>
      <c r="I787">
        <v>416</v>
      </c>
      <c r="J787" s="1">
        <v>-416.66666666666669</v>
      </c>
      <c r="K787">
        <v>13</v>
      </c>
      <c r="L787">
        <v>53</v>
      </c>
      <c r="M787" s="1">
        <v>-416.66666666666669</v>
      </c>
      <c r="N787">
        <v>0</v>
      </c>
      <c r="O787" t="s">
        <v>57</v>
      </c>
      <c r="P787">
        <v>-14</v>
      </c>
      <c r="Q787">
        <v>10</v>
      </c>
    </row>
    <row r="788" spans="1:18">
      <c r="A788" t="s">
        <v>63</v>
      </c>
      <c r="B788" s="1">
        <v>-416.66666666666669</v>
      </c>
      <c r="C788">
        <v>0</v>
      </c>
      <c r="D788">
        <v>32</v>
      </c>
      <c r="E788">
        <v>0</v>
      </c>
      <c r="F788">
        <v>8</v>
      </c>
      <c r="G788">
        <v>80</v>
      </c>
      <c r="H788">
        <v>24</v>
      </c>
      <c r="I788">
        <v>412</v>
      </c>
      <c r="J788" s="1">
        <v>-416.66666666666669</v>
      </c>
      <c r="K788">
        <v>13</v>
      </c>
      <c r="L788">
        <v>53</v>
      </c>
      <c r="M788" s="1">
        <v>-416.66666666666669</v>
      </c>
      <c r="N788">
        <v>0</v>
      </c>
      <c r="O788" t="s">
        <v>43</v>
      </c>
      <c r="P788">
        <v>-14</v>
      </c>
      <c r="Q788">
        <v>10</v>
      </c>
    </row>
    <row r="789" spans="1:18">
      <c r="A789" t="s">
        <v>63</v>
      </c>
      <c r="B789" s="1">
        <v>-416.66666666666669</v>
      </c>
      <c r="C789">
        <v>0</v>
      </c>
      <c r="D789">
        <v>32</v>
      </c>
      <c r="E789">
        <v>0</v>
      </c>
      <c r="F789">
        <v>8</v>
      </c>
      <c r="G789">
        <v>80</v>
      </c>
      <c r="H789">
        <v>24</v>
      </c>
      <c r="I789">
        <v>416</v>
      </c>
      <c r="J789" s="1">
        <v>-416.66666666666669</v>
      </c>
      <c r="K789">
        <v>13</v>
      </c>
      <c r="L789">
        <v>53</v>
      </c>
      <c r="M789" s="1">
        <v>-416.66666666666669</v>
      </c>
      <c r="N789">
        <v>0</v>
      </c>
      <c r="O789" t="s">
        <v>60</v>
      </c>
      <c r="P789">
        <v>-14</v>
      </c>
      <c r="Q789">
        <v>10</v>
      </c>
    </row>
    <row r="790" spans="1:18">
      <c r="A790" t="s">
        <v>63</v>
      </c>
      <c r="B790" s="1">
        <v>-416.66666666666669</v>
      </c>
      <c r="C790">
        <v>0</v>
      </c>
      <c r="D790">
        <v>32</v>
      </c>
      <c r="E790">
        <v>0</v>
      </c>
      <c r="F790">
        <v>8</v>
      </c>
      <c r="G790">
        <v>80</v>
      </c>
      <c r="H790">
        <v>24</v>
      </c>
      <c r="I790">
        <v>412</v>
      </c>
      <c r="J790" s="1">
        <v>-416.66666666666669</v>
      </c>
      <c r="K790">
        <v>13</v>
      </c>
      <c r="L790">
        <v>53</v>
      </c>
      <c r="M790" s="1">
        <v>-416.66666666666669</v>
      </c>
      <c r="N790">
        <v>0</v>
      </c>
      <c r="O790" t="s">
        <v>41</v>
      </c>
      <c r="P790">
        <v>-14</v>
      </c>
      <c r="Q790">
        <v>10</v>
      </c>
    </row>
    <row r="791" spans="1:18">
      <c r="A791" t="s">
        <v>63</v>
      </c>
      <c r="B791" s="1">
        <v>-416.66666666666669</v>
      </c>
      <c r="C791">
        <v>0</v>
      </c>
      <c r="D791">
        <v>32</v>
      </c>
      <c r="E791">
        <v>0</v>
      </c>
      <c r="F791">
        <v>8</v>
      </c>
      <c r="G791">
        <v>80</v>
      </c>
      <c r="H791">
        <v>24</v>
      </c>
      <c r="I791">
        <v>412</v>
      </c>
      <c r="J791" s="1">
        <v>-416.66666666666669</v>
      </c>
      <c r="K791">
        <v>13</v>
      </c>
      <c r="L791">
        <v>53</v>
      </c>
      <c r="M791" s="1">
        <v>-416.66666666666669</v>
      </c>
      <c r="N791">
        <v>0</v>
      </c>
      <c r="O791" t="s">
        <v>41</v>
      </c>
      <c r="P791">
        <v>-14</v>
      </c>
      <c r="Q791">
        <v>10</v>
      </c>
    </row>
    <row r="792" spans="1:18">
      <c r="A792" t="s">
        <v>63</v>
      </c>
      <c r="B792" s="1">
        <v>-416.66666666666669</v>
      </c>
      <c r="C792">
        <v>0</v>
      </c>
      <c r="D792">
        <v>32</v>
      </c>
      <c r="E792">
        <v>0</v>
      </c>
      <c r="F792">
        <v>8</v>
      </c>
      <c r="G792">
        <v>80</v>
      </c>
      <c r="H792">
        <v>24</v>
      </c>
      <c r="I792">
        <v>416</v>
      </c>
      <c r="J792" s="1">
        <v>-416.66666666666669</v>
      </c>
      <c r="K792">
        <v>13</v>
      </c>
      <c r="L792">
        <v>53</v>
      </c>
      <c r="M792" s="1">
        <v>-416.66666666666669</v>
      </c>
      <c r="N792">
        <v>0</v>
      </c>
      <c r="O792" t="s">
        <v>43</v>
      </c>
      <c r="P792">
        <v>-14</v>
      </c>
      <c r="Q792">
        <v>10</v>
      </c>
    </row>
    <row r="793" spans="1:18">
      <c r="A793" t="s">
        <v>63</v>
      </c>
      <c r="B793" s="1">
        <v>-416.66666666666669</v>
      </c>
      <c r="C793">
        <v>4</v>
      </c>
      <c r="D793">
        <v>32</v>
      </c>
      <c r="E793">
        <v>0</v>
      </c>
      <c r="F793">
        <v>8</v>
      </c>
      <c r="G793">
        <v>80</v>
      </c>
      <c r="H793">
        <v>24</v>
      </c>
      <c r="I793">
        <v>412</v>
      </c>
      <c r="J793" s="1">
        <v>-416.66666666666669</v>
      </c>
      <c r="K793">
        <v>13</v>
      </c>
      <c r="L793">
        <v>53</v>
      </c>
      <c r="M793" s="1">
        <v>-416.66666666666669</v>
      </c>
      <c r="N793">
        <v>0</v>
      </c>
      <c r="O793" t="s">
        <v>52</v>
      </c>
      <c r="P793">
        <v>-14</v>
      </c>
      <c r="Q793">
        <v>10</v>
      </c>
    </row>
    <row r="794" spans="1:18">
      <c r="A794" t="s">
        <v>63</v>
      </c>
      <c r="B794" s="1">
        <v>-416.66666666666669</v>
      </c>
      <c r="C794">
        <v>0</v>
      </c>
      <c r="D794">
        <v>32</v>
      </c>
      <c r="E794">
        <v>0</v>
      </c>
      <c r="F794">
        <v>8</v>
      </c>
      <c r="G794">
        <v>80</v>
      </c>
      <c r="H794">
        <v>24</v>
      </c>
      <c r="I794">
        <v>416</v>
      </c>
      <c r="J794" s="1">
        <v>-416.66666666666669</v>
      </c>
      <c r="K794">
        <v>13</v>
      </c>
      <c r="L794">
        <v>53</v>
      </c>
      <c r="M794" s="1">
        <v>-416.66666666666669</v>
      </c>
      <c r="N794">
        <v>0</v>
      </c>
      <c r="O794" t="s">
        <v>41</v>
      </c>
      <c r="P794">
        <v>-14</v>
      </c>
      <c r="Q794">
        <v>10</v>
      </c>
    </row>
    <row r="795" spans="1:18">
      <c r="A795" t="s">
        <v>63</v>
      </c>
      <c r="B795" s="1">
        <v>-416.66666666666669</v>
      </c>
      <c r="C795">
        <v>0</v>
      </c>
      <c r="D795">
        <v>32</v>
      </c>
      <c r="E795">
        <v>0</v>
      </c>
      <c r="F795">
        <v>8</v>
      </c>
      <c r="G795">
        <v>80</v>
      </c>
      <c r="H795">
        <v>24</v>
      </c>
      <c r="I795">
        <v>412</v>
      </c>
      <c r="J795" s="1">
        <v>-416.66666666666669</v>
      </c>
      <c r="K795">
        <v>13</v>
      </c>
      <c r="L795">
        <v>53</v>
      </c>
      <c r="M795" s="1">
        <v>-416.66666666666669</v>
      </c>
      <c r="N795">
        <v>0</v>
      </c>
      <c r="O795" t="s">
        <v>54</v>
      </c>
      <c r="P795">
        <v>-14</v>
      </c>
      <c r="Q795">
        <v>10</v>
      </c>
    </row>
    <row r="796" spans="1:18">
      <c r="A796" t="s">
        <v>63</v>
      </c>
      <c r="B796" s="1">
        <v>-416.66666666666669</v>
      </c>
      <c r="C796">
        <v>0</v>
      </c>
      <c r="D796">
        <v>32</v>
      </c>
      <c r="E796">
        <v>0</v>
      </c>
      <c r="F796">
        <v>8</v>
      </c>
      <c r="G796">
        <v>80</v>
      </c>
      <c r="H796">
        <v>24</v>
      </c>
      <c r="I796">
        <v>412</v>
      </c>
      <c r="J796" s="1">
        <v>-416.66666666666669</v>
      </c>
      <c r="K796">
        <v>13</v>
      </c>
      <c r="L796">
        <v>53</v>
      </c>
      <c r="M796" s="1">
        <v>-416.66666666666669</v>
      </c>
      <c r="N796">
        <v>0</v>
      </c>
      <c r="O796" t="s">
        <v>49</v>
      </c>
      <c r="P796">
        <v>-14</v>
      </c>
      <c r="Q796">
        <v>10</v>
      </c>
    </row>
    <row r="797" spans="1:18">
      <c r="A797" t="s">
        <v>63</v>
      </c>
      <c r="B797" s="1">
        <v>-416.66666666666669</v>
      </c>
      <c r="C797">
        <v>0</v>
      </c>
      <c r="D797">
        <v>32</v>
      </c>
      <c r="E797">
        <v>0</v>
      </c>
      <c r="F797">
        <v>8</v>
      </c>
      <c r="G797">
        <v>84</v>
      </c>
      <c r="H797">
        <v>24</v>
      </c>
      <c r="I797">
        <v>416</v>
      </c>
      <c r="J797" s="1">
        <v>-416.66666666666669</v>
      </c>
      <c r="K797">
        <v>13</v>
      </c>
      <c r="L797">
        <v>53</v>
      </c>
      <c r="M797" s="1">
        <v>-416.66666666666669</v>
      </c>
      <c r="N797">
        <v>0</v>
      </c>
      <c r="O797" t="s">
        <v>50</v>
      </c>
      <c r="P797">
        <v>-14</v>
      </c>
      <c r="Q797">
        <v>10</v>
      </c>
    </row>
    <row r="798" spans="1:18">
      <c r="A798" t="s">
        <v>63</v>
      </c>
      <c r="B798" s="1">
        <v>-416.66666666666669</v>
      </c>
      <c r="C798">
        <v>0</v>
      </c>
      <c r="D798">
        <v>32</v>
      </c>
      <c r="E798">
        <v>0</v>
      </c>
      <c r="F798">
        <v>8</v>
      </c>
      <c r="G798">
        <v>80</v>
      </c>
      <c r="H798">
        <v>24</v>
      </c>
      <c r="I798">
        <v>416</v>
      </c>
      <c r="J798" s="1">
        <v>-416.66666666666669</v>
      </c>
      <c r="K798">
        <v>13</v>
      </c>
      <c r="L798">
        <v>53</v>
      </c>
      <c r="M798" s="1">
        <v>-416.66666666666669</v>
      </c>
      <c r="N798">
        <v>0</v>
      </c>
      <c r="O798" t="s">
        <v>43</v>
      </c>
      <c r="P798">
        <v>-14</v>
      </c>
      <c r="Q798">
        <v>10</v>
      </c>
    </row>
    <row r="799" spans="1:18">
      <c r="A799" t="s">
        <v>63</v>
      </c>
      <c r="B799" s="1">
        <v>-416.66666666666669</v>
      </c>
      <c r="C799">
        <v>4</v>
      </c>
      <c r="D799">
        <v>32</v>
      </c>
      <c r="E799">
        <v>0</v>
      </c>
      <c r="F799">
        <v>8</v>
      </c>
      <c r="G799">
        <v>80</v>
      </c>
      <c r="H799">
        <v>24</v>
      </c>
      <c r="I799">
        <v>416</v>
      </c>
      <c r="J799" s="1">
        <v>-416.66666666666669</v>
      </c>
      <c r="K799">
        <v>13</v>
      </c>
      <c r="L799">
        <v>53</v>
      </c>
      <c r="M799" s="1">
        <v>-416.66666666666669</v>
      </c>
      <c r="N799">
        <v>0</v>
      </c>
      <c r="O799" t="s">
        <v>41</v>
      </c>
      <c r="P799">
        <v>-14</v>
      </c>
      <c r="Q799">
        <v>10</v>
      </c>
    </row>
    <row r="800" spans="1:18">
      <c r="A800" t="s">
        <v>63</v>
      </c>
      <c r="B800" s="1">
        <v>-416.66666666666669</v>
      </c>
      <c r="C800">
        <v>0</v>
      </c>
      <c r="D800">
        <v>32</v>
      </c>
      <c r="E800">
        <v>0</v>
      </c>
      <c r="F800">
        <v>8</v>
      </c>
      <c r="G800">
        <v>80</v>
      </c>
      <c r="H800">
        <v>24</v>
      </c>
      <c r="I800">
        <v>416</v>
      </c>
      <c r="J800" s="1">
        <v>-416.66666666666669</v>
      </c>
      <c r="K800">
        <v>13</v>
      </c>
      <c r="L800">
        <v>53</v>
      </c>
      <c r="M800" s="1">
        <v>-416.66666666666669</v>
      </c>
      <c r="N800">
        <v>0</v>
      </c>
      <c r="O800" t="s">
        <v>43</v>
      </c>
      <c r="P800">
        <v>-14</v>
      </c>
      <c r="Q800">
        <v>10</v>
      </c>
    </row>
    <row r="801" spans="1:17">
      <c r="A801" t="s">
        <v>63</v>
      </c>
      <c r="B801" s="1">
        <v>-416.66666666666669</v>
      </c>
      <c r="C801">
        <v>0</v>
      </c>
      <c r="D801">
        <v>32</v>
      </c>
      <c r="E801">
        <v>0</v>
      </c>
      <c r="F801">
        <v>8</v>
      </c>
      <c r="G801">
        <v>80</v>
      </c>
      <c r="H801">
        <v>24</v>
      </c>
      <c r="I801">
        <v>416</v>
      </c>
      <c r="J801" s="1">
        <v>-416.66666666666669</v>
      </c>
      <c r="K801">
        <v>13</v>
      </c>
      <c r="L801">
        <v>53</v>
      </c>
      <c r="M801" s="1">
        <v>-416.66666666666669</v>
      </c>
      <c r="N801">
        <v>0</v>
      </c>
      <c r="O801" t="s">
        <v>42</v>
      </c>
      <c r="P801">
        <v>-14</v>
      </c>
      <c r="Q801">
        <v>10</v>
      </c>
    </row>
    <row r="802" spans="1:17">
      <c r="A802" t="s">
        <v>63</v>
      </c>
      <c r="B802" s="1">
        <v>-416.66666666666669</v>
      </c>
      <c r="C802">
        <v>0</v>
      </c>
      <c r="D802">
        <v>28</v>
      </c>
      <c r="E802">
        <v>0</v>
      </c>
      <c r="F802">
        <v>8</v>
      </c>
      <c r="G802">
        <v>80</v>
      </c>
      <c r="H802">
        <v>24</v>
      </c>
      <c r="I802">
        <v>416</v>
      </c>
      <c r="J802" s="1">
        <v>-416.66666666666669</v>
      </c>
      <c r="K802">
        <v>13</v>
      </c>
      <c r="L802">
        <v>53</v>
      </c>
      <c r="M802" s="1">
        <v>-416.66666666666669</v>
      </c>
      <c r="N802">
        <v>0</v>
      </c>
      <c r="O802" t="s">
        <v>57</v>
      </c>
      <c r="P802">
        <v>-14</v>
      </c>
      <c r="Q802">
        <v>10</v>
      </c>
    </row>
    <row r="803" spans="1:17">
      <c r="A803" t="s">
        <v>63</v>
      </c>
      <c r="B803" s="1">
        <v>-416.66666666666669</v>
      </c>
      <c r="C803">
        <v>0</v>
      </c>
      <c r="D803">
        <v>32</v>
      </c>
      <c r="E803">
        <v>0</v>
      </c>
      <c r="F803">
        <v>8</v>
      </c>
      <c r="G803">
        <v>80</v>
      </c>
      <c r="H803">
        <v>24</v>
      </c>
      <c r="I803">
        <v>416</v>
      </c>
      <c r="J803" s="1">
        <v>-416.66666666666669</v>
      </c>
      <c r="K803">
        <v>13</v>
      </c>
      <c r="L803">
        <v>53</v>
      </c>
      <c r="M803" s="1">
        <v>-416.66666666666669</v>
      </c>
      <c r="N803">
        <v>0</v>
      </c>
      <c r="O803" t="s">
        <v>43</v>
      </c>
      <c r="P803">
        <v>-14</v>
      </c>
      <c r="Q803">
        <v>10</v>
      </c>
    </row>
    <row r="804" spans="1:17">
      <c r="A804" t="s">
        <v>63</v>
      </c>
      <c r="B804" s="1">
        <v>-416.66666666666669</v>
      </c>
      <c r="C804">
        <v>0</v>
      </c>
      <c r="D804">
        <v>32</v>
      </c>
      <c r="E804">
        <v>0</v>
      </c>
      <c r="F804">
        <v>8</v>
      </c>
      <c r="G804">
        <v>80</v>
      </c>
      <c r="H804">
        <v>24</v>
      </c>
      <c r="I804">
        <v>420</v>
      </c>
      <c r="J804" s="1">
        <v>-416.66666666666669</v>
      </c>
      <c r="K804">
        <v>13</v>
      </c>
      <c r="L804">
        <v>53</v>
      </c>
      <c r="M804" s="1">
        <v>-416.66666666666669</v>
      </c>
      <c r="N804">
        <v>0</v>
      </c>
      <c r="O804" t="s">
        <v>50</v>
      </c>
      <c r="P804">
        <v>-14</v>
      </c>
      <c r="Q804">
        <v>10</v>
      </c>
    </row>
    <row r="805" spans="1:17">
      <c r="A805" t="s">
        <v>63</v>
      </c>
      <c r="B805" s="1">
        <v>-416.66666666666669</v>
      </c>
      <c r="C805">
        <v>0</v>
      </c>
      <c r="D805">
        <v>32</v>
      </c>
      <c r="E805">
        <v>0</v>
      </c>
      <c r="F805">
        <v>8</v>
      </c>
      <c r="G805">
        <v>80</v>
      </c>
      <c r="H805">
        <v>24</v>
      </c>
      <c r="I805">
        <v>416</v>
      </c>
      <c r="J805" s="1">
        <v>-416.66666666666669</v>
      </c>
      <c r="K805">
        <v>13</v>
      </c>
      <c r="L805">
        <v>53</v>
      </c>
      <c r="M805" s="1">
        <v>-416.66666666666669</v>
      </c>
      <c r="N805">
        <v>0</v>
      </c>
      <c r="O805" t="s">
        <v>48</v>
      </c>
      <c r="P805">
        <v>-14</v>
      </c>
      <c r="Q805">
        <v>10</v>
      </c>
    </row>
    <row r="806" spans="1:17">
      <c r="A806" t="s">
        <v>63</v>
      </c>
      <c r="B806" s="1">
        <v>-416.66666666666669</v>
      </c>
      <c r="C806">
        <v>0</v>
      </c>
      <c r="D806">
        <v>32</v>
      </c>
      <c r="E806">
        <v>0</v>
      </c>
      <c r="F806">
        <v>8</v>
      </c>
      <c r="G806">
        <v>80</v>
      </c>
      <c r="H806">
        <v>24</v>
      </c>
      <c r="I806">
        <v>416</v>
      </c>
      <c r="J806" s="1">
        <v>-416.66666666666669</v>
      </c>
      <c r="K806">
        <v>13</v>
      </c>
      <c r="L806">
        <v>53</v>
      </c>
      <c r="M806" s="1">
        <v>-416.66666666666669</v>
      </c>
      <c r="N806">
        <v>0</v>
      </c>
      <c r="O806" t="s">
        <v>52</v>
      </c>
      <c r="P806">
        <v>-14</v>
      </c>
      <c r="Q806">
        <v>10</v>
      </c>
    </row>
    <row r="807" spans="1:17">
      <c r="A807" t="s">
        <v>63</v>
      </c>
      <c r="B807" s="1">
        <v>-416.66666666666669</v>
      </c>
      <c r="C807">
        <v>0</v>
      </c>
      <c r="D807">
        <v>32</v>
      </c>
      <c r="E807">
        <v>0</v>
      </c>
      <c r="F807">
        <v>8</v>
      </c>
      <c r="G807">
        <v>80</v>
      </c>
      <c r="H807">
        <v>24</v>
      </c>
      <c r="I807">
        <v>412</v>
      </c>
      <c r="J807" s="1">
        <v>-416.66666666666669</v>
      </c>
      <c r="K807">
        <v>13</v>
      </c>
      <c r="L807">
        <v>53</v>
      </c>
      <c r="M807" s="1">
        <v>-416.66666666666669</v>
      </c>
      <c r="N807">
        <v>0</v>
      </c>
      <c r="O807" t="s">
        <v>41</v>
      </c>
      <c r="P807">
        <v>-14</v>
      </c>
      <c r="Q807">
        <v>10</v>
      </c>
    </row>
    <row r="808" spans="1:17">
      <c r="A808" t="s">
        <v>63</v>
      </c>
      <c r="B808" s="1">
        <v>-416.66666666666669</v>
      </c>
      <c r="C808">
        <v>0</v>
      </c>
      <c r="D808">
        <v>32</v>
      </c>
      <c r="E808">
        <v>0</v>
      </c>
      <c r="F808">
        <v>8</v>
      </c>
      <c r="G808">
        <v>80</v>
      </c>
      <c r="H808">
        <v>24</v>
      </c>
      <c r="I808">
        <v>412</v>
      </c>
      <c r="J808" s="1">
        <v>-416.66666666666669</v>
      </c>
      <c r="K808">
        <v>13</v>
      </c>
      <c r="L808">
        <v>53</v>
      </c>
      <c r="M808" s="1">
        <v>-416.66666666666669</v>
      </c>
      <c r="N808">
        <v>0</v>
      </c>
      <c r="O808" t="s">
        <v>43</v>
      </c>
      <c r="P808">
        <v>-14</v>
      </c>
      <c r="Q808">
        <v>10</v>
      </c>
    </row>
    <row r="809" spans="1:17">
      <c r="A809" t="s">
        <v>63</v>
      </c>
      <c r="B809" s="1">
        <v>-416.66666666666669</v>
      </c>
      <c r="C809">
        <v>0</v>
      </c>
      <c r="D809">
        <v>32</v>
      </c>
      <c r="E809">
        <v>0</v>
      </c>
      <c r="F809">
        <v>8</v>
      </c>
      <c r="G809">
        <v>84</v>
      </c>
      <c r="H809">
        <v>24</v>
      </c>
      <c r="I809">
        <v>416</v>
      </c>
      <c r="J809" s="1">
        <v>-416.66666666666669</v>
      </c>
      <c r="K809">
        <v>13</v>
      </c>
      <c r="L809">
        <v>53</v>
      </c>
      <c r="M809" s="1">
        <v>-416.66666666666669</v>
      </c>
      <c r="N809">
        <v>0</v>
      </c>
      <c r="O809" t="s">
        <v>41</v>
      </c>
      <c r="P809">
        <v>-14</v>
      </c>
      <c r="Q809">
        <v>10</v>
      </c>
    </row>
    <row r="810" spans="1:17">
      <c r="A810" t="s">
        <v>63</v>
      </c>
      <c r="B810" s="1">
        <v>-416.66666666666669</v>
      </c>
      <c r="C810">
        <v>4</v>
      </c>
      <c r="D810">
        <v>32</v>
      </c>
      <c r="E810">
        <v>0</v>
      </c>
      <c r="F810">
        <v>8</v>
      </c>
      <c r="G810">
        <v>80</v>
      </c>
      <c r="H810">
        <v>24</v>
      </c>
      <c r="I810">
        <v>420</v>
      </c>
      <c r="J810" s="1">
        <v>-416.66666666666669</v>
      </c>
      <c r="K810">
        <v>13</v>
      </c>
      <c r="L810">
        <v>53</v>
      </c>
      <c r="M810" s="1">
        <v>-416.66666666666669</v>
      </c>
      <c r="N810">
        <v>0</v>
      </c>
      <c r="O810" t="s">
        <v>54</v>
      </c>
      <c r="P810">
        <v>-14</v>
      </c>
      <c r="Q810">
        <v>10</v>
      </c>
    </row>
    <row r="811" spans="1:17">
      <c r="A811" t="s">
        <v>63</v>
      </c>
      <c r="B811" s="1">
        <v>-416.66666666666669</v>
      </c>
      <c r="C811">
        <v>0</v>
      </c>
      <c r="D811">
        <v>32</v>
      </c>
      <c r="E811">
        <v>0</v>
      </c>
      <c r="F811">
        <v>8</v>
      </c>
      <c r="G811">
        <v>80</v>
      </c>
      <c r="H811">
        <v>24</v>
      </c>
      <c r="I811">
        <v>416</v>
      </c>
      <c r="J811" s="1">
        <v>-416.66666666666669</v>
      </c>
      <c r="K811">
        <v>13</v>
      </c>
      <c r="L811">
        <v>53</v>
      </c>
      <c r="M811" s="1">
        <v>-416.66666666666669</v>
      </c>
      <c r="N811">
        <v>0</v>
      </c>
      <c r="O811" t="s">
        <v>49</v>
      </c>
      <c r="P811">
        <v>-14</v>
      </c>
      <c r="Q811">
        <v>10</v>
      </c>
    </row>
    <row r="812" spans="1:17">
      <c r="A812" t="s">
        <v>63</v>
      </c>
      <c r="B812" s="1">
        <v>-416.66666666666669</v>
      </c>
      <c r="C812">
        <v>0</v>
      </c>
      <c r="D812">
        <v>32</v>
      </c>
      <c r="E812">
        <v>0</v>
      </c>
      <c r="F812">
        <v>8</v>
      </c>
      <c r="G812">
        <v>80</v>
      </c>
      <c r="H812">
        <v>24</v>
      </c>
      <c r="I812">
        <v>412</v>
      </c>
      <c r="J812" s="1">
        <v>-416.66666666666669</v>
      </c>
      <c r="K812">
        <v>13</v>
      </c>
      <c r="L812">
        <v>53</v>
      </c>
      <c r="M812" s="1">
        <v>-416.66666666666669</v>
      </c>
      <c r="N812">
        <v>0</v>
      </c>
      <c r="O812" t="s">
        <v>50</v>
      </c>
      <c r="P812">
        <v>-14</v>
      </c>
      <c r="Q812">
        <v>10</v>
      </c>
    </row>
    <row r="813" spans="1:17">
      <c r="A813" t="s">
        <v>63</v>
      </c>
      <c r="B813" s="1">
        <v>-416.66666666666669</v>
      </c>
      <c r="C813">
        <v>0</v>
      </c>
      <c r="D813">
        <v>32</v>
      </c>
      <c r="E813">
        <v>0</v>
      </c>
      <c r="F813">
        <v>8</v>
      </c>
      <c r="G813">
        <v>80</v>
      </c>
      <c r="H813">
        <v>24</v>
      </c>
      <c r="I813">
        <v>412</v>
      </c>
      <c r="J813" s="1">
        <v>-416.66666666666669</v>
      </c>
      <c r="K813">
        <v>13</v>
      </c>
      <c r="L813">
        <v>53</v>
      </c>
      <c r="M813" s="1">
        <v>-416.66666666666669</v>
      </c>
      <c r="N813">
        <v>0</v>
      </c>
      <c r="O813" t="s">
        <v>52</v>
      </c>
      <c r="P813">
        <v>-14</v>
      </c>
      <c r="Q813">
        <v>10</v>
      </c>
    </row>
    <row r="814" spans="1:17">
      <c r="A814" t="s">
        <v>63</v>
      </c>
      <c r="B814" s="1">
        <v>-416.66666666666669</v>
      </c>
      <c r="C814">
        <v>0</v>
      </c>
      <c r="D814">
        <v>32</v>
      </c>
      <c r="E814">
        <v>0</v>
      </c>
      <c r="F814">
        <v>8</v>
      </c>
      <c r="G814">
        <v>80</v>
      </c>
      <c r="H814">
        <v>24</v>
      </c>
      <c r="I814">
        <v>412</v>
      </c>
      <c r="J814" s="1">
        <v>-416.66666666666669</v>
      </c>
      <c r="K814">
        <v>13</v>
      </c>
      <c r="L814">
        <v>53</v>
      </c>
      <c r="M814" s="1">
        <v>-416.66666666666669</v>
      </c>
      <c r="N814">
        <v>0</v>
      </c>
      <c r="O814" t="s">
        <v>41</v>
      </c>
      <c r="P814">
        <v>-14</v>
      </c>
      <c r="Q814">
        <v>10</v>
      </c>
    </row>
    <row r="815" spans="1:17">
      <c r="A815" t="s">
        <v>63</v>
      </c>
      <c r="B815" s="1">
        <v>-416.66666666666669</v>
      </c>
      <c r="C815">
        <v>4</v>
      </c>
      <c r="D815">
        <v>32</v>
      </c>
      <c r="E815">
        <v>0</v>
      </c>
      <c r="F815">
        <v>8</v>
      </c>
      <c r="G815">
        <v>80</v>
      </c>
      <c r="H815">
        <v>24</v>
      </c>
      <c r="I815">
        <v>412</v>
      </c>
      <c r="J815" s="1">
        <v>-416.66666666666669</v>
      </c>
      <c r="K815">
        <v>13</v>
      </c>
      <c r="L815">
        <v>53</v>
      </c>
      <c r="M815" s="1">
        <v>-416.66666666666669</v>
      </c>
      <c r="N815">
        <v>0</v>
      </c>
      <c r="O815" t="s">
        <v>52</v>
      </c>
      <c r="P815">
        <v>-14</v>
      </c>
      <c r="Q815">
        <v>10</v>
      </c>
    </row>
    <row r="816" spans="1:17">
      <c r="A816" t="s">
        <v>63</v>
      </c>
      <c r="B816" s="1">
        <v>-416.66666666666669</v>
      </c>
      <c r="C816">
        <v>0</v>
      </c>
      <c r="D816">
        <v>32</v>
      </c>
      <c r="E816">
        <v>0</v>
      </c>
      <c r="F816">
        <v>8</v>
      </c>
      <c r="G816">
        <v>80</v>
      </c>
      <c r="H816">
        <v>24</v>
      </c>
      <c r="I816">
        <v>416</v>
      </c>
      <c r="J816" s="1">
        <v>-416.66666666666669</v>
      </c>
      <c r="K816">
        <v>13</v>
      </c>
      <c r="L816">
        <v>53</v>
      </c>
      <c r="M816" s="1">
        <v>-416.66666666666669</v>
      </c>
      <c r="N816">
        <v>0</v>
      </c>
      <c r="O816" t="s">
        <v>52</v>
      </c>
      <c r="P816">
        <v>-14</v>
      </c>
      <c r="Q816">
        <v>10</v>
      </c>
    </row>
    <row r="817" spans="1:17">
      <c r="A817" t="s">
        <v>63</v>
      </c>
      <c r="B817" s="1">
        <v>-416.66666666666669</v>
      </c>
      <c r="C817">
        <v>0</v>
      </c>
      <c r="D817">
        <v>32</v>
      </c>
      <c r="E817">
        <v>4</v>
      </c>
      <c r="F817">
        <v>8</v>
      </c>
      <c r="G817">
        <v>80</v>
      </c>
      <c r="H817">
        <v>24</v>
      </c>
      <c r="I817">
        <v>412</v>
      </c>
      <c r="J817" s="1">
        <v>-416.66666666666669</v>
      </c>
      <c r="K817">
        <v>13</v>
      </c>
      <c r="L817">
        <v>53</v>
      </c>
      <c r="M817" s="1">
        <v>-416.66666666666669</v>
      </c>
      <c r="N817">
        <v>0</v>
      </c>
      <c r="O817" t="s">
        <v>43</v>
      </c>
      <c r="P817">
        <v>-14</v>
      </c>
      <c r="Q817">
        <v>10</v>
      </c>
    </row>
    <row r="818" spans="1:17">
      <c r="A818" t="s">
        <v>63</v>
      </c>
      <c r="B818" s="1">
        <v>-416.66666666666669</v>
      </c>
      <c r="C818">
        <v>0</v>
      </c>
      <c r="D818">
        <v>32</v>
      </c>
      <c r="E818">
        <v>0</v>
      </c>
      <c r="F818">
        <v>8</v>
      </c>
      <c r="G818">
        <v>80</v>
      </c>
      <c r="H818">
        <v>24</v>
      </c>
      <c r="I818">
        <v>412</v>
      </c>
      <c r="J818" s="1">
        <v>-416.66666666666669</v>
      </c>
      <c r="K818">
        <v>13</v>
      </c>
      <c r="L818">
        <v>53</v>
      </c>
      <c r="M818" s="1">
        <v>-416.66666666666669</v>
      </c>
      <c r="N818">
        <v>0</v>
      </c>
      <c r="O818" t="s">
        <v>57</v>
      </c>
      <c r="P818">
        <v>-14</v>
      </c>
      <c r="Q818">
        <v>10</v>
      </c>
    </row>
    <row r="819" spans="1:17">
      <c r="A819" t="s">
        <v>63</v>
      </c>
      <c r="B819" s="1">
        <v>-416.66666666666669</v>
      </c>
      <c r="C819">
        <v>4</v>
      </c>
      <c r="D819">
        <v>32</v>
      </c>
      <c r="E819">
        <v>0</v>
      </c>
      <c r="F819">
        <v>8</v>
      </c>
      <c r="G819">
        <v>80</v>
      </c>
      <c r="H819">
        <v>24</v>
      </c>
      <c r="I819">
        <v>416</v>
      </c>
      <c r="J819" s="1">
        <v>-416.66666666666669</v>
      </c>
      <c r="K819">
        <v>13</v>
      </c>
      <c r="L819">
        <v>53</v>
      </c>
      <c r="M819" s="1">
        <v>-416.66666666666669</v>
      </c>
      <c r="N819">
        <v>0</v>
      </c>
      <c r="O819" t="s">
        <v>60</v>
      </c>
      <c r="P819">
        <v>-14</v>
      </c>
      <c r="Q819">
        <v>10</v>
      </c>
    </row>
    <row r="820" spans="1:17">
      <c r="A820" t="s">
        <v>63</v>
      </c>
      <c r="B820" s="1">
        <v>-416.66666666666669</v>
      </c>
      <c r="C820">
        <v>4</v>
      </c>
      <c r="D820">
        <v>32</v>
      </c>
      <c r="E820">
        <v>0</v>
      </c>
      <c r="F820">
        <v>8</v>
      </c>
      <c r="G820">
        <v>84</v>
      </c>
      <c r="H820">
        <v>24</v>
      </c>
      <c r="I820">
        <v>416</v>
      </c>
      <c r="J820" s="1">
        <v>-416.66666666666669</v>
      </c>
      <c r="K820">
        <v>13</v>
      </c>
      <c r="L820">
        <v>53</v>
      </c>
      <c r="M820" s="1">
        <v>-416.66666666666669</v>
      </c>
      <c r="N820">
        <v>0</v>
      </c>
      <c r="O820" t="s">
        <v>42</v>
      </c>
      <c r="P820">
        <v>-14</v>
      </c>
      <c r="Q820">
        <v>10</v>
      </c>
    </row>
    <row r="821" spans="1:17">
      <c r="A821" t="s">
        <v>63</v>
      </c>
      <c r="B821" s="1">
        <v>-416.66666666666669</v>
      </c>
      <c r="C821">
        <v>8</v>
      </c>
      <c r="D821">
        <v>32</v>
      </c>
      <c r="E821">
        <v>0</v>
      </c>
      <c r="F821">
        <v>8</v>
      </c>
      <c r="G821">
        <v>80</v>
      </c>
      <c r="H821">
        <v>24</v>
      </c>
      <c r="I821">
        <v>420</v>
      </c>
      <c r="J821" s="1">
        <v>-416.66666666666669</v>
      </c>
      <c r="K821">
        <v>13</v>
      </c>
      <c r="L821">
        <v>53</v>
      </c>
      <c r="M821" s="1">
        <v>-416.66666666666669</v>
      </c>
      <c r="N821">
        <v>0</v>
      </c>
      <c r="O821" t="s">
        <v>52</v>
      </c>
      <c r="P821">
        <v>-14</v>
      </c>
      <c r="Q821">
        <v>10</v>
      </c>
    </row>
    <row r="822" spans="1:17">
      <c r="A822" t="s">
        <v>63</v>
      </c>
      <c r="B822" s="1">
        <v>-416.66666666666669</v>
      </c>
      <c r="C822">
        <v>0</v>
      </c>
      <c r="D822">
        <v>32</v>
      </c>
      <c r="E822">
        <v>0</v>
      </c>
      <c r="F822">
        <v>8</v>
      </c>
      <c r="G822">
        <v>80</v>
      </c>
      <c r="H822">
        <v>28</v>
      </c>
      <c r="I822">
        <v>408</v>
      </c>
      <c r="J822" s="1">
        <v>-416.66666666666669</v>
      </c>
      <c r="K822">
        <v>13</v>
      </c>
      <c r="L822">
        <v>53</v>
      </c>
      <c r="M822" s="1">
        <v>-416.66666666666669</v>
      </c>
      <c r="N822">
        <v>0</v>
      </c>
      <c r="O822" t="s">
        <v>41</v>
      </c>
      <c r="P822">
        <v>-14</v>
      </c>
      <c r="Q822">
        <v>10</v>
      </c>
    </row>
    <row r="823" spans="1:17">
      <c r="A823" t="s">
        <v>63</v>
      </c>
      <c r="B823" s="1">
        <v>-416.66666666666669</v>
      </c>
      <c r="C823">
        <v>0</v>
      </c>
      <c r="D823">
        <v>32</v>
      </c>
      <c r="E823">
        <v>0</v>
      </c>
      <c r="F823">
        <v>8</v>
      </c>
      <c r="G823">
        <v>80</v>
      </c>
      <c r="H823">
        <v>24</v>
      </c>
      <c r="I823">
        <v>416</v>
      </c>
      <c r="J823" s="1">
        <v>-416.66666666666669</v>
      </c>
      <c r="K823">
        <v>13</v>
      </c>
      <c r="L823">
        <v>53</v>
      </c>
      <c r="M823" s="1">
        <v>-416.66666666666669</v>
      </c>
      <c r="N823">
        <v>0</v>
      </c>
      <c r="O823" t="s">
        <v>43</v>
      </c>
      <c r="P823">
        <v>-14</v>
      </c>
      <c r="Q823">
        <v>10</v>
      </c>
    </row>
    <row r="824" spans="1:17">
      <c r="A824" t="s">
        <v>63</v>
      </c>
      <c r="B824" s="1">
        <v>-416.66666666666669</v>
      </c>
      <c r="C824">
        <v>0</v>
      </c>
      <c r="D824">
        <v>32</v>
      </c>
      <c r="E824">
        <v>0</v>
      </c>
      <c r="F824">
        <v>8</v>
      </c>
      <c r="G824">
        <v>84</v>
      </c>
      <c r="H824">
        <v>24</v>
      </c>
      <c r="I824">
        <v>416</v>
      </c>
      <c r="J824" s="1">
        <v>-416.66666666666669</v>
      </c>
      <c r="K824">
        <v>13</v>
      </c>
      <c r="L824">
        <v>53</v>
      </c>
      <c r="M824" s="1">
        <v>-416.66666666666669</v>
      </c>
      <c r="N824">
        <v>0</v>
      </c>
      <c r="O824" t="s">
        <v>41</v>
      </c>
      <c r="P824">
        <v>-14</v>
      </c>
      <c r="Q824">
        <v>10</v>
      </c>
    </row>
    <row r="825" spans="1:17">
      <c r="A825" t="s">
        <v>63</v>
      </c>
      <c r="B825" s="1">
        <v>-416.66666666666669</v>
      </c>
      <c r="C825">
        <v>0</v>
      </c>
      <c r="D825">
        <v>32</v>
      </c>
      <c r="E825">
        <v>0</v>
      </c>
      <c r="F825">
        <v>8</v>
      </c>
      <c r="G825">
        <v>80</v>
      </c>
      <c r="H825">
        <v>24</v>
      </c>
      <c r="I825">
        <v>412</v>
      </c>
      <c r="J825" s="1">
        <v>-416.66666666666669</v>
      </c>
      <c r="K825">
        <v>13</v>
      </c>
      <c r="L825">
        <v>53</v>
      </c>
      <c r="M825" s="1">
        <v>-416.66666666666669</v>
      </c>
      <c r="N825">
        <v>0</v>
      </c>
      <c r="O825" t="s">
        <v>54</v>
      </c>
      <c r="P825">
        <v>-14</v>
      </c>
      <c r="Q825">
        <v>10</v>
      </c>
    </row>
    <row r="826" spans="1:17">
      <c r="A826" t="s">
        <v>63</v>
      </c>
      <c r="B826" s="1">
        <v>-416.66666666666669</v>
      </c>
      <c r="C826">
        <v>0</v>
      </c>
      <c r="D826">
        <v>32</v>
      </c>
      <c r="E826">
        <v>0</v>
      </c>
      <c r="F826">
        <v>8</v>
      </c>
      <c r="G826">
        <v>80</v>
      </c>
      <c r="H826">
        <v>24</v>
      </c>
      <c r="I826">
        <v>412</v>
      </c>
      <c r="J826" s="1">
        <v>-416.66666666666669</v>
      </c>
      <c r="K826">
        <v>13</v>
      </c>
      <c r="L826">
        <v>53</v>
      </c>
      <c r="M826" s="1">
        <v>-416.66666666666669</v>
      </c>
      <c r="N826">
        <v>0</v>
      </c>
      <c r="O826" t="s">
        <v>48</v>
      </c>
      <c r="P826">
        <v>-14</v>
      </c>
      <c r="Q826">
        <v>10</v>
      </c>
    </row>
    <row r="827" spans="1:17">
      <c r="A827" t="s">
        <v>63</v>
      </c>
      <c r="B827" s="1">
        <v>-416.66666666666669</v>
      </c>
      <c r="C827">
        <v>0</v>
      </c>
      <c r="D827">
        <v>32</v>
      </c>
      <c r="E827">
        <v>0</v>
      </c>
      <c r="F827">
        <v>8</v>
      </c>
      <c r="G827">
        <v>80</v>
      </c>
      <c r="H827">
        <v>24</v>
      </c>
      <c r="I827">
        <v>416</v>
      </c>
      <c r="J827" s="1">
        <v>-416.66666666666669</v>
      </c>
      <c r="K827">
        <v>13</v>
      </c>
      <c r="L827">
        <v>53</v>
      </c>
      <c r="M827" s="1">
        <v>-416.66666666666669</v>
      </c>
      <c r="N827">
        <v>0</v>
      </c>
      <c r="O827" t="s">
        <v>55</v>
      </c>
      <c r="P827">
        <v>-14</v>
      </c>
      <c r="Q827">
        <v>10</v>
      </c>
    </row>
    <row r="828" spans="1:17">
      <c r="A828" t="s">
        <v>63</v>
      </c>
      <c r="B828" s="1">
        <v>-416.66666666666669</v>
      </c>
      <c r="C828">
        <v>0</v>
      </c>
      <c r="D828">
        <v>32</v>
      </c>
      <c r="E828">
        <v>0</v>
      </c>
      <c r="F828">
        <v>8</v>
      </c>
      <c r="G828">
        <v>80</v>
      </c>
      <c r="H828">
        <v>24</v>
      </c>
      <c r="I828">
        <v>416</v>
      </c>
      <c r="J828" s="1">
        <v>-416.66666666666669</v>
      </c>
      <c r="K828">
        <v>13</v>
      </c>
      <c r="L828">
        <v>53</v>
      </c>
      <c r="M828" s="1">
        <v>-416.66666666666669</v>
      </c>
      <c r="N828">
        <v>0</v>
      </c>
      <c r="O828" t="s">
        <v>41</v>
      </c>
      <c r="P828">
        <v>-14</v>
      </c>
      <c r="Q828">
        <v>10</v>
      </c>
    </row>
    <row r="829" spans="1:17">
      <c r="A829" t="s">
        <v>63</v>
      </c>
      <c r="B829" s="1">
        <v>-416.66666666666669</v>
      </c>
      <c r="C829">
        <v>0</v>
      </c>
      <c r="D829">
        <v>32</v>
      </c>
      <c r="E829">
        <v>0</v>
      </c>
      <c r="F829">
        <v>8</v>
      </c>
      <c r="G829">
        <v>80</v>
      </c>
      <c r="H829">
        <v>24</v>
      </c>
      <c r="I829">
        <v>416</v>
      </c>
      <c r="J829" s="1">
        <v>-416.66666666666669</v>
      </c>
      <c r="K829">
        <v>13</v>
      </c>
      <c r="L829">
        <v>53</v>
      </c>
      <c r="M829" s="1">
        <v>-416.66666666666669</v>
      </c>
      <c r="N829">
        <v>0</v>
      </c>
      <c r="O829" t="s">
        <v>42</v>
      </c>
      <c r="P829">
        <v>-14</v>
      </c>
      <c r="Q829">
        <v>10</v>
      </c>
    </row>
    <row r="830" spans="1:17">
      <c r="A830" t="s">
        <v>63</v>
      </c>
      <c r="B830" s="1">
        <v>-416.66666666666669</v>
      </c>
      <c r="C830">
        <v>0</v>
      </c>
      <c r="D830">
        <v>32</v>
      </c>
      <c r="E830">
        <v>0</v>
      </c>
      <c r="F830">
        <v>8</v>
      </c>
      <c r="G830">
        <v>80</v>
      </c>
      <c r="H830">
        <v>24</v>
      </c>
      <c r="I830">
        <v>412</v>
      </c>
      <c r="J830" s="1">
        <v>-416.66666666666669</v>
      </c>
      <c r="K830">
        <v>13</v>
      </c>
      <c r="L830">
        <v>53</v>
      </c>
      <c r="M830" s="1">
        <v>-416.66666666666669</v>
      </c>
      <c r="N830">
        <v>0</v>
      </c>
      <c r="O830" t="s">
        <v>43</v>
      </c>
      <c r="P830">
        <v>-14</v>
      </c>
      <c r="Q830">
        <v>10</v>
      </c>
    </row>
    <row r="831" spans="1:17">
      <c r="A831" t="s">
        <v>63</v>
      </c>
      <c r="B831" s="1">
        <v>-416.66666666666669</v>
      </c>
      <c r="C831">
        <v>4</v>
      </c>
      <c r="D831">
        <v>32</v>
      </c>
      <c r="E831">
        <v>0</v>
      </c>
      <c r="F831">
        <v>8</v>
      </c>
      <c r="G831">
        <v>80</v>
      </c>
      <c r="H831">
        <v>24</v>
      </c>
      <c r="I831">
        <v>412</v>
      </c>
      <c r="J831" s="1">
        <v>-416.66666666666669</v>
      </c>
      <c r="K831">
        <v>13</v>
      </c>
      <c r="L831">
        <v>53</v>
      </c>
      <c r="M831" s="1">
        <v>-416.66666666666669</v>
      </c>
      <c r="N831">
        <v>0</v>
      </c>
      <c r="O831" t="s">
        <v>41</v>
      </c>
      <c r="P831">
        <v>-14</v>
      </c>
      <c r="Q831">
        <v>10</v>
      </c>
    </row>
    <row r="832" spans="1:17">
      <c r="A832" t="s">
        <v>63</v>
      </c>
      <c r="B832" s="1">
        <v>-416.66666666666669</v>
      </c>
      <c r="C832">
        <v>4</v>
      </c>
      <c r="D832">
        <v>32</v>
      </c>
      <c r="E832">
        <v>0</v>
      </c>
      <c r="F832">
        <v>8</v>
      </c>
      <c r="G832">
        <v>80</v>
      </c>
      <c r="H832">
        <v>24</v>
      </c>
      <c r="I832">
        <v>412</v>
      </c>
      <c r="J832" s="1">
        <v>-416.66666666666669</v>
      </c>
      <c r="K832">
        <v>13</v>
      </c>
      <c r="L832">
        <v>53</v>
      </c>
      <c r="M832" s="1">
        <v>-416.66666666666669</v>
      </c>
      <c r="N832">
        <v>0</v>
      </c>
      <c r="O832" t="s">
        <v>43</v>
      </c>
      <c r="P832">
        <v>-14</v>
      </c>
      <c r="Q832">
        <v>10</v>
      </c>
    </row>
    <row r="833" spans="1:17">
      <c r="A833" t="s">
        <v>63</v>
      </c>
      <c r="B833" s="1">
        <v>-416.66666666666669</v>
      </c>
      <c r="C833">
        <v>4</v>
      </c>
      <c r="D833">
        <v>32</v>
      </c>
      <c r="E833">
        <v>0</v>
      </c>
      <c r="F833">
        <v>8</v>
      </c>
      <c r="G833">
        <v>80</v>
      </c>
      <c r="H833">
        <v>24</v>
      </c>
      <c r="I833">
        <v>412</v>
      </c>
      <c r="J833" s="1">
        <v>-416.66666666666669</v>
      </c>
      <c r="K833">
        <v>13</v>
      </c>
      <c r="L833">
        <v>53</v>
      </c>
      <c r="M833" s="1">
        <v>-416.66666666666669</v>
      </c>
      <c r="N833">
        <v>0</v>
      </c>
      <c r="O833" t="s">
        <v>44</v>
      </c>
      <c r="P833">
        <v>-14</v>
      </c>
      <c r="Q833">
        <v>10</v>
      </c>
    </row>
    <row r="834" spans="1:17">
      <c r="A834" t="s">
        <v>63</v>
      </c>
      <c r="B834" s="1">
        <v>-416.66666666666669</v>
      </c>
      <c r="C834">
        <v>0</v>
      </c>
      <c r="D834">
        <v>32</v>
      </c>
      <c r="E834">
        <v>0</v>
      </c>
      <c r="F834">
        <v>8</v>
      </c>
      <c r="G834">
        <v>80</v>
      </c>
      <c r="H834">
        <v>24</v>
      </c>
      <c r="I834">
        <v>412</v>
      </c>
      <c r="J834" s="1">
        <v>-416.66666666666669</v>
      </c>
      <c r="K834">
        <v>13</v>
      </c>
      <c r="L834">
        <v>53</v>
      </c>
      <c r="M834" s="1">
        <v>-416.66666666666669</v>
      </c>
      <c r="N834">
        <v>0</v>
      </c>
      <c r="O834" t="s">
        <v>50</v>
      </c>
      <c r="P834">
        <v>-14</v>
      </c>
      <c r="Q834">
        <v>10</v>
      </c>
    </row>
    <row r="835" spans="1:17">
      <c r="A835" t="s">
        <v>63</v>
      </c>
      <c r="B835" s="1">
        <v>-416.66666666666669</v>
      </c>
      <c r="C835">
        <v>0</v>
      </c>
      <c r="D835">
        <v>32</v>
      </c>
      <c r="E835">
        <v>0</v>
      </c>
      <c r="F835">
        <v>8</v>
      </c>
      <c r="G835">
        <v>80</v>
      </c>
      <c r="H835">
        <v>24</v>
      </c>
      <c r="I835">
        <v>412</v>
      </c>
      <c r="J835" s="1">
        <v>-416.66666666666669</v>
      </c>
      <c r="K835">
        <v>13</v>
      </c>
      <c r="L835">
        <v>53</v>
      </c>
      <c r="M835" s="1">
        <v>-416.66666666666669</v>
      </c>
      <c r="N835">
        <v>0</v>
      </c>
      <c r="O835" t="s">
        <v>50</v>
      </c>
      <c r="P835">
        <v>-14</v>
      </c>
      <c r="Q835">
        <v>10</v>
      </c>
    </row>
    <row r="836" spans="1:17">
      <c r="A836" t="s">
        <v>63</v>
      </c>
      <c r="B836" s="1">
        <v>-416.66666666666669</v>
      </c>
      <c r="C836">
        <v>0</v>
      </c>
      <c r="D836">
        <v>32</v>
      </c>
      <c r="E836">
        <v>0</v>
      </c>
      <c r="F836">
        <v>8</v>
      </c>
      <c r="G836">
        <v>80</v>
      </c>
      <c r="H836">
        <v>24</v>
      </c>
      <c r="I836">
        <v>412</v>
      </c>
      <c r="J836" s="1">
        <v>-416.66666666666669</v>
      </c>
      <c r="K836">
        <v>13</v>
      </c>
      <c r="L836">
        <v>53</v>
      </c>
      <c r="M836" s="1">
        <v>-416.66666666666669</v>
      </c>
      <c r="N836">
        <v>0</v>
      </c>
      <c r="O836" t="s">
        <v>43</v>
      </c>
      <c r="P836">
        <v>-14</v>
      </c>
      <c r="Q836">
        <v>10</v>
      </c>
    </row>
    <row r="837" spans="1:17">
      <c r="A837" t="s">
        <v>63</v>
      </c>
      <c r="B837" s="1">
        <v>-416.66666666666669</v>
      </c>
      <c r="C837">
        <v>0</v>
      </c>
      <c r="D837">
        <v>32</v>
      </c>
      <c r="E837">
        <v>0</v>
      </c>
      <c r="F837">
        <v>8</v>
      </c>
      <c r="G837">
        <v>80</v>
      </c>
      <c r="H837">
        <v>24</v>
      </c>
      <c r="I837">
        <v>416</v>
      </c>
      <c r="J837" s="1">
        <v>-416.66666666666669</v>
      </c>
      <c r="K837">
        <v>13</v>
      </c>
      <c r="L837">
        <v>53</v>
      </c>
      <c r="M837" s="1">
        <v>-416.66666666666669</v>
      </c>
      <c r="N837">
        <v>0</v>
      </c>
      <c r="O837" t="s">
        <v>42</v>
      </c>
      <c r="P837">
        <v>-14</v>
      </c>
      <c r="Q837">
        <v>10</v>
      </c>
    </row>
    <row r="838" spans="1:17">
      <c r="A838" t="s">
        <v>63</v>
      </c>
      <c r="B838" s="1">
        <v>-416.66666666666669</v>
      </c>
      <c r="C838">
        <v>4</v>
      </c>
      <c r="D838">
        <v>32</v>
      </c>
      <c r="E838">
        <v>0</v>
      </c>
      <c r="F838">
        <v>8</v>
      </c>
      <c r="G838">
        <v>80</v>
      </c>
      <c r="H838">
        <v>24</v>
      </c>
      <c r="I838">
        <v>416</v>
      </c>
      <c r="J838" s="1">
        <v>-416.66666666666669</v>
      </c>
      <c r="K838">
        <v>13</v>
      </c>
      <c r="L838">
        <v>53</v>
      </c>
      <c r="M838" s="1">
        <v>-416.66666666666669</v>
      </c>
      <c r="N838">
        <v>0</v>
      </c>
      <c r="O838" t="s">
        <v>43</v>
      </c>
      <c r="P838">
        <v>-14</v>
      </c>
      <c r="Q838">
        <v>10</v>
      </c>
    </row>
    <row r="839" spans="1:17">
      <c r="A839" t="s">
        <v>63</v>
      </c>
      <c r="B839" s="1">
        <v>-416.66666666666669</v>
      </c>
      <c r="C839">
        <v>4</v>
      </c>
      <c r="D839">
        <v>32</v>
      </c>
      <c r="E839">
        <v>0</v>
      </c>
      <c r="F839">
        <v>8</v>
      </c>
      <c r="G839">
        <v>80</v>
      </c>
      <c r="H839">
        <v>24</v>
      </c>
      <c r="I839">
        <v>416</v>
      </c>
      <c r="J839" s="1">
        <v>-416.66666666666669</v>
      </c>
      <c r="K839">
        <v>13</v>
      </c>
      <c r="L839">
        <v>53</v>
      </c>
      <c r="M839" s="1">
        <v>-416.66666666666669</v>
      </c>
      <c r="N839">
        <v>0</v>
      </c>
      <c r="O839" t="s">
        <v>41</v>
      </c>
      <c r="P839">
        <v>-14</v>
      </c>
      <c r="Q839">
        <v>10</v>
      </c>
    </row>
    <row r="840" spans="1:17">
      <c r="A840" t="s">
        <v>63</v>
      </c>
      <c r="B840" s="1">
        <v>-416.66666666666669</v>
      </c>
      <c r="C840">
        <v>0</v>
      </c>
      <c r="D840">
        <v>32</v>
      </c>
      <c r="E840">
        <v>0</v>
      </c>
      <c r="F840">
        <v>8</v>
      </c>
      <c r="G840">
        <v>80</v>
      </c>
      <c r="H840">
        <v>24</v>
      </c>
      <c r="I840">
        <v>412</v>
      </c>
      <c r="J840" s="1">
        <v>-416.66666666666669</v>
      </c>
      <c r="K840">
        <v>13</v>
      </c>
      <c r="L840">
        <v>53</v>
      </c>
      <c r="M840" s="1">
        <v>-416.66666666666669</v>
      </c>
      <c r="N840">
        <v>0</v>
      </c>
      <c r="O840" t="s">
        <v>57</v>
      </c>
      <c r="P840">
        <v>-14</v>
      </c>
      <c r="Q840">
        <v>10</v>
      </c>
    </row>
    <row r="841" spans="1:17">
      <c r="A841" t="s">
        <v>63</v>
      </c>
      <c r="B841" s="1">
        <v>-416.66666666666669</v>
      </c>
      <c r="C841">
        <v>0</v>
      </c>
      <c r="D841">
        <v>32</v>
      </c>
      <c r="E841">
        <v>0</v>
      </c>
      <c r="F841">
        <v>8</v>
      </c>
      <c r="G841">
        <v>80</v>
      </c>
      <c r="H841">
        <v>24</v>
      </c>
      <c r="I841">
        <v>416</v>
      </c>
      <c r="J841" s="1">
        <v>-416.66666666666669</v>
      </c>
      <c r="K841">
        <v>13</v>
      </c>
      <c r="L841">
        <v>53</v>
      </c>
      <c r="M841" s="1">
        <v>-416.66666666666669</v>
      </c>
      <c r="N841">
        <v>0</v>
      </c>
      <c r="O841" t="s">
        <v>52</v>
      </c>
      <c r="P841">
        <v>-14</v>
      </c>
      <c r="Q841">
        <v>10</v>
      </c>
    </row>
    <row r="842" spans="1:17">
      <c r="A842" t="s">
        <v>63</v>
      </c>
      <c r="B842" s="1">
        <v>-416.66666666666669</v>
      </c>
      <c r="C842">
        <v>4</v>
      </c>
      <c r="D842">
        <v>32</v>
      </c>
      <c r="E842">
        <v>0</v>
      </c>
      <c r="F842">
        <v>8</v>
      </c>
      <c r="G842">
        <v>80</v>
      </c>
      <c r="H842">
        <v>24</v>
      </c>
      <c r="I842">
        <v>416</v>
      </c>
      <c r="J842" s="1">
        <v>-416.66666666666669</v>
      </c>
      <c r="K842">
        <v>13</v>
      </c>
      <c r="L842">
        <v>53</v>
      </c>
      <c r="M842" s="1">
        <v>-416.66666666666669</v>
      </c>
      <c r="N842">
        <v>0</v>
      </c>
      <c r="O842" t="s">
        <v>55</v>
      </c>
      <c r="P842">
        <v>-14</v>
      </c>
      <c r="Q842">
        <v>10</v>
      </c>
    </row>
    <row r="843" spans="1:17">
      <c r="A843" t="s">
        <v>63</v>
      </c>
      <c r="B843" s="1">
        <v>-416.66666666666669</v>
      </c>
      <c r="C843">
        <v>0</v>
      </c>
      <c r="D843">
        <v>32</v>
      </c>
      <c r="E843">
        <v>0</v>
      </c>
      <c r="F843">
        <v>8</v>
      </c>
      <c r="G843">
        <v>80</v>
      </c>
      <c r="H843">
        <v>24</v>
      </c>
      <c r="I843">
        <v>416</v>
      </c>
      <c r="J843" s="1">
        <v>-416.66666666666669</v>
      </c>
      <c r="K843">
        <v>13</v>
      </c>
      <c r="L843">
        <v>53</v>
      </c>
      <c r="M843" s="1">
        <v>-416.66666666666669</v>
      </c>
      <c r="N843">
        <v>0</v>
      </c>
      <c r="O843" t="s">
        <v>42</v>
      </c>
      <c r="P843">
        <v>-14</v>
      </c>
      <c r="Q843">
        <v>10</v>
      </c>
    </row>
    <row r="844" spans="1:17">
      <c r="A844" t="s">
        <v>63</v>
      </c>
      <c r="B844" s="1">
        <v>-416.66666666666669</v>
      </c>
      <c r="C844">
        <v>0</v>
      </c>
      <c r="D844">
        <v>32</v>
      </c>
      <c r="E844">
        <v>0</v>
      </c>
      <c r="F844">
        <v>8</v>
      </c>
      <c r="G844">
        <v>80</v>
      </c>
      <c r="H844">
        <v>24</v>
      </c>
      <c r="I844">
        <v>416</v>
      </c>
      <c r="J844" s="1">
        <v>-416.66666666666669</v>
      </c>
      <c r="K844">
        <v>13</v>
      </c>
      <c r="L844">
        <v>53</v>
      </c>
      <c r="M844" s="1">
        <v>-416.66666666666669</v>
      </c>
      <c r="N844">
        <v>0</v>
      </c>
      <c r="O844" t="s">
        <v>41</v>
      </c>
      <c r="P844">
        <v>-14</v>
      </c>
      <c r="Q844">
        <v>10</v>
      </c>
    </row>
    <row r="845" spans="1:17">
      <c r="A845" t="s">
        <v>63</v>
      </c>
      <c r="B845" s="1">
        <v>-416.66666666666669</v>
      </c>
      <c r="C845">
        <v>0</v>
      </c>
      <c r="D845">
        <v>32</v>
      </c>
      <c r="E845">
        <v>0</v>
      </c>
      <c r="F845">
        <v>8</v>
      </c>
      <c r="G845">
        <v>80</v>
      </c>
      <c r="H845">
        <v>24</v>
      </c>
      <c r="I845">
        <v>416</v>
      </c>
      <c r="J845" s="1">
        <v>-416.66666666666669</v>
      </c>
      <c r="K845">
        <v>13</v>
      </c>
      <c r="L845">
        <v>53</v>
      </c>
      <c r="M845" s="1">
        <v>-416.66666666666669</v>
      </c>
      <c r="N845">
        <v>0</v>
      </c>
      <c r="O845" t="s">
        <v>41</v>
      </c>
      <c r="P845">
        <v>-14</v>
      </c>
      <c r="Q845">
        <v>10</v>
      </c>
    </row>
    <row r="846" spans="1:17">
      <c r="A846" t="s">
        <v>63</v>
      </c>
      <c r="B846" s="1">
        <v>-416.66666666666669</v>
      </c>
      <c r="C846">
        <v>0</v>
      </c>
      <c r="D846">
        <v>32</v>
      </c>
      <c r="E846">
        <v>4</v>
      </c>
      <c r="F846">
        <v>8</v>
      </c>
      <c r="G846">
        <v>80</v>
      </c>
      <c r="H846">
        <v>24</v>
      </c>
      <c r="I846">
        <v>412</v>
      </c>
      <c r="J846" s="1">
        <v>-416.66666666666669</v>
      </c>
      <c r="K846">
        <v>13</v>
      </c>
      <c r="L846">
        <v>53</v>
      </c>
      <c r="M846" s="1">
        <v>-416.66666666666669</v>
      </c>
      <c r="N846">
        <v>0</v>
      </c>
      <c r="O846" t="s">
        <v>52</v>
      </c>
      <c r="P846">
        <v>-14</v>
      </c>
      <c r="Q846">
        <v>10</v>
      </c>
    </row>
    <row r="847" spans="1:17">
      <c r="A847" t="s">
        <v>63</v>
      </c>
      <c r="B847" s="1">
        <v>-416.66666666666669</v>
      </c>
      <c r="C847">
        <v>4</v>
      </c>
      <c r="D847">
        <v>32</v>
      </c>
      <c r="E847">
        <v>0</v>
      </c>
      <c r="F847">
        <v>8</v>
      </c>
      <c r="G847">
        <v>80</v>
      </c>
      <c r="H847">
        <v>24</v>
      </c>
      <c r="I847">
        <v>420</v>
      </c>
      <c r="J847" s="1">
        <v>-416.66666666666669</v>
      </c>
      <c r="K847">
        <v>13</v>
      </c>
      <c r="L847">
        <v>53</v>
      </c>
      <c r="M847" s="1">
        <v>-416.66666666666669</v>
      </c>
      <c r="N847">
        <v>0</v>
      </c>
      <c r="O847" t="s">
        <v>54</v>
      </c>
      <c r="P847">
        <v>-14</v>
      </c>
      <c r="Q847">
        <v>10</v>
      </c>
    </row>
    <row r="848" spans="1:17">
      <c r="A848" t="s">
        <v>63</v>
      </c>
      <c r="B848" s="1">
        <v>-416.66666666666669</v>
      </c>
      <c r="C848">
        <v>0</v>
      </c>
      <c r="D848">
        <v>32</v>
      </c>
      <c r="E848">
        <v>0</v>
      </c>
      <c r="F848">
        <v>8</v>
      </c>
      <c r="G848">
        <v>80</v>
      </c>
      <c r="H848">
        <v>24</v>
      </c>
      <c r="I848">
        <v>416</v>
      </c>
      <c r="J848" s="1">
        <v>-416.66666666666669</v>
      </c>
      <c r="K848">
        <v>13</v>
      </c>
      <c r="L848">
        <v>53</v>
      </c>
      <c r="M848" s="1">
        <v>-416.66666666666669</v>
      </c>
      <c r="N848">
        <v>0</v>
      </c>
      <c r="O848" t="s">
        <v>49</v>
      </c>
      <c r="P848">
        <v>-14</v>
      </c>
      <c r="Q848">
        <v>10</v>
      </c>
    </row>
    <row r="849" spans="1:17">
      <c r="A849" t="s">
        <v>63</v>
      </c>
      <c r="B849" s="1">
        <v>-416.66666666666669</v>
      </c>
      <c r="C849">
        <v>0</v>
      </c>
      <c r="D849">
        <v>32</v>
      </c>
      <c r="E849">
        <v>0</v>
      </c>
      <c r="F849">
        <v>8</v>
      </c>
      <c r="G849">
        <v>80</v>
      </c>
      <c r="H849">
        <v>24</v>
      </c>
      <c r="I849">
        <v>416</v>
      </c>
      <c r="J849" s="1">
        <v>-416.66666666666669</v>
      </c>
      <c r="K849">
        <v>13</v>
      </c>
      <c r="L849">
        <v>53</v>
      </c>
      <c r="M849" s="1">
        <v>-416.66666666666669</v>
      </c>
      <c r="N849">
        <v>0</v>
      </c>
      <c r="O849" t="s">
        <v>55</v>
      </c>
      <c r="P849">
        <v>-14</v>
      </c>
      <c r="Q849">
        <v>10</v>
      </c>
    </row>
    <row r="850" spans="1:17">
      <c r="A850" t="s">
        <v>63</v>
      </c>
      <c r="B850" s="1">
        <v>-416.66666666666669</v>
      </c>
      <c r="C850">
        <v>0</v>
      </c>
      <c r="D850">
        <v>32</v>
      </c>
      <c r="E850">
        <v>0</v>
      </c>
      <c r="F850">
        <v>8</v>
      </c>
      <c r="G850">
        <v>80</v>
      </c>
      <c r="H850">
        <v>24</v>
      </c>
      <c r="I850">
        <v>416</v>
      </c>
      <c r="J850" s="1">
        <v>-416.66666666666669</v>
      </c>
      <c r="K850">
        <v>13</v>
      </c>
      <c r="L850">
        <v>53</v>
      </c>
      <c r="M850" s="1">
        <v>-416.66666666666669</v>
      </c>
      <c r="N850">
        <v>0</v>
      </c>
      <c r="O850" t="s">
        <v>52</v>
      </c>
      <c r="P850">
        <v>-14</v>
      </c>
      <c r="Q850">
        <v>10</v>
      </c>
    </row>
    <row r="851" spans="1:17">
      <c r="A851" t="s">
        <v>63</v>
      </c>
      <c r="B851" s="1">
        <v>-416.66666666666669</v>
      </c>
      <c r="C851">
        <v>0</v>
      </c>
      <c r="D851">
        <v>32</v>
      </c>
      <c r="E851">
        <v>0</v>
      </c>
      <c r="F851">
        <v>8</v>
      </c>
      <c r="G851">
        <v>84</v>
      </c>
      <c r="H851">
        <v>28</v>
      </c>
      <c r="I851">
        <v>408</v>
      </c>
      <c r="J851" s="1">
        <v>-416.66666666666669</v>
      </c>
      <c r="K851">
        <v>13</v>
      </c>
      <c r="L851">
        <v>53</v>
      </c>
      <c r="M851" s="1">
        <v>-416.66666666666669</v>
      </c>
      <c r="N851">
        <v>0</v>
      </c>
      <c r="O851" t="s">
        <v>49</v>
      </c>
      <c r="P851">
        <v>-14</v>
      </c>
      <c r="Q851">
        <v>10</v>
      </c>
    </row>
    <row r="852" spans="1:17">
      <c r="A852" t="s">
        <v>63</v>
      </c>
      <c r="B852" s="1">
        <v>-416.66666666666669</v>
      </c>
      <c r="C852">
        <v>4</v>
      </c>
      <c r="D852">
        <v>32</v>
      </c>
      <c r="E852">
        <v>0</v>
      </c>
      <c r="F852">
        <v>8</v>
      </c>
      <c r="G852">
        <v>84</v>
      </c>
      <c r="H852">
        <v>24</v>
      </c>
      <c r="I852">
        <v>420</v>
      </c>
      <c r="J852" s="1">
        <v>-416.66666666666669</v>
      </c>
      <c r="K852">
        <v>13</v>
      </c>
      <c r="L852">
        <v>53</v>
      </c>
      <c r="M852" s="1">
        <v>-416.66666666666669</v>
      </c>
      <c r="N852">
        <v>0</v>
      </c>
      <c r="O852" t="s">
        <v>39</v>
      </c>
      <c r="P852">
        <v>-14</v>
      </c>
      <c r="Q852">
        <v>10</v>
      </c>
    </row>
    <row r="853" spans="1:17">
      <c r="A853" t="s">
        <v>63</v>
      </c>
      <c r="B853" s="1">
        <v>-416.66666666666669</v>
      </c>
      <c r="C853">
        <v>0</v>
      </c>
      <c r="D853">
        <v>32</v>
      </c>
      <c r="E853">
        <v>0</v>
      </c>
      <c r="F853">
        <v>8</v>
      </c>
      <c r="G853">
        <v>84</v>
      </c>
      <c r="H853">
        <v>24</v>
      </c>
      <c r="I853">
        <v>420</v>
      </c>
      <c r="J853" s="1">
        <v>-416.66666666666669</v>
      </c>
      <c r="K853">
        <v>12</v>
      </c>
      <c r="L853">
        <v>52</v>
      </c>
      <c r="M853" s="1">
        <v>-416.66666666666669</v>
      </c>
      <c r="N853">
        <v>2</v>
      </c>
      <c r="O853" t="s">
        <v>36</v>
      </c>
      <c r="P853">
        <v>-14</v>
      </c>
      <c r="Q853">
        <v>10</v>
      </c>
    </row>
    <row r="854" spans="1:17">
      <c r="A854" t="s">
        <v>63</v>
      </c>
      <c r="B854" s="1">
        <v>-416.66666666666669</v>
      </c>
      <c r="C854">
        <v>8</v>
      </c>
      <c r="D854">
        <v>32</v>
      </c>
      <c r="E854">
        <v>0</v>
      </c>
      <c r="F854">
        <v>8</v>
      </c>
      <c r="G854">
        <v>84</v>
      </c>
      <c r="H854">
        <v>24</v>
      </c>
      <c r="I854">
        <v>424</v>
      </c>
      <c r="J854" s="1">
        <v>-416.66666666666669</v>
      </c>
      <c r="K854">
        <v>12</v>
      </c>
      <c r="L854">
        <v>52</v>
      </c>
      <c r="M854" s="1">
        <v>-416.66666666666669</v>
      </c>
      <c r="N854">
        <v>2</v>
      </c>
      <c r="O854" t="s">
        <v>35</v>
      </c>
      <c r="P854">
        <v>-16</v>
      </c>
      <c r="Q854">
        <v>10</v>
      </c>
    </row>
    <row r="855" spans="1:17">
      <c r="A855" t="s">
        <v>63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64E87-9C71-4FC1-B130-7564BD65B857}">
  <dimension ref="A1:K669"/>
  <sheetViews>
    <sheetView tabSelected="1" zoomScaleNormal="100" workbookViewId="0">
      <selection activeCell="G15" sqref="G15"/>
    </sheetView>
  </sheetViews>
  <sheetFormatPr defaultRowHeight="18"/>
  <cols>
    <col min="1" max="1" width="11.3984375" customWidth="1"/>
    <col min="2" max="3" width="11" bestFit="1" customWidth="1"/>
    <col min="4" max="4" width="10.5" customWidth="1"/>
    <col min="5" max="5" width="3.8984375" customWidth="1"/>
    <col min="6" max="6" width="16.09765625" customWidth="1"/>
    <col min="7" max="7" width="14.19921875" customWidth="1"/>
    <col min="8" max="8" width="11.59765625" customWidth="1"/>
    <col min="9" max="9" width="10.796875" bestFit="1" customWidth="1"/>
    <col min="10" max="11" width="9.69921875" bestFit="1" customWidth="1"/>
  </cols>
  <sheetData>
    <row r="1" spans="1:11">
      <c r="B1" t="s">
        <v>0</v>
      </c>
      <c r="D1" t="s">
        <v>1</v>
      </c>
      <c r="G1" s="10" t="s">
        <v>6</v>
      </c>
      <c r="H1" t="s">
        <v>2</v>
      </c>
      <c r="I1" t="s">
        <v>3</v>
      </c>
      <c r="J1" t="s">
        <v>4</v>
      </c>
    </row>
    <row r="2" spans="1:11">
      <c r="A2" t="str">
        <f>INDEX(ログ!A:A,$F$11+ROW(A1)-1)</f>
        <v xml:space="preserve">  0 :  0  0  1</v>
      </c>
      <c r="B2" s="6">
        <f>INDEX(ログ!N:N,$F$11+ROW(A1)-1)*$G$5</f>
        <v>0</v>
      </c>
      <c r="C2" s="6">
        <f>(B2+D2)/2</f>
        <v>0</v>
      </c>
      <c r="D2" s="6">
        <f>SUBSTITUTE(INDEX(ログ!P:P,$F$11+ROW(A1)-1),":","")*$G$5</f>
        <v>0</v>
      </c>
      <c r="E2" s="4"/>
      <c r="F2" s="2"/>
      <c r="G2" s="7">
        <v>400</v>
      </c>
      <c r="H2" s="5">
        <f>90+C2*COS(RADIANS(J2))</f>
        <v>90</v>
      </c>
      <c r="I2" s="5">
        <f>-90+C2*SIN(RADIANS(J2))</f>
        <v>-90</v>
      </c>
      <c r="J2" s="5">
        <f>ROUNDDOWN(INDEX(ログ!S:S,$F$11+ROW(A1)-1) * $F$8,0)</f>
        <v>0</v>
      </c>
      <c r="K2" s="5"/>
    </row>
    <row r="3" spans="1:11">
      <c r="A3" t="str">
        <f>INDEX(ログ!A:A,$F$11+ROW(A2)-1)</f>
        <v xml:space="preserve">  0 :  0  0  1</v>
      </c>
      <c r="B3" s="6">
        <f>INDEX(ログ!N:N,$F$11+ROW(A2)-1)*$G$5</f>
        <v>0</v>
      </c>
      <c r="C3" s="6">
        <f t="shared" ref="C3:C66" si="0">(B3+D3)/2</f>
        <v>0</v>
      </c>
      <c r="D3" s="6">
        <f>SUBSTITUTE(INDEX(ログ!P:P,$F$11+ROW(A2)-1),":","")*$G$5</f>
        <v>0</v>
      </c>
      <c r="E3" s="4"/>
      <c r="F3" s="2"/>
      <c r="G3" s="2"/>
      <c r="H3" s="5">
        <f>H2+(C3*COS(RADIANS(J2)))</f>
        <v>90</v>
      </c>
      <c r="I3" s="5">
        <f>I2+(C3*SIN(RADIANS(J2)))</f>
        <v>-90</v>
      </c>
      <c r="J3" s="5">
        <f>ROUNDDOWN(INDEX(ログ!S:S,$F$11+ROW(A2)-1) * $F$8,0)</f>
        <v>0</v>
      </c>
      <c r="K3" s="5"/>
    </row>
    <row r="4" spans="1:11">
      <c r="A4" t="str">
        <f>INDEX(ログ!A:A,$F$11+ROW(A3)-1)</f>
        <v xml:space="preserve">  0 :  0  0  1</v>
      </c>
      <c r="B4" s="6">
        <f>INDEX(ログ!N:N,$F$11+ROW(A3)-1)*$G$5</f>
        <v>0.69115038378975446</v>
      </c>
      <c r="C4" s="6">
        <f t="shared" si="0"/>
        <v>0.69115038378975446</v>
      </c>
      <c r="D4" s="6">
        <f>SUBSTITUTE(INDEX(ログ!P:P,$F$11+ROW(A3)-1),":","")*$G$5</f>
        <v>0.69115038378975446</v>
      </c>
      <c r="E4" s="4"/>
      <c r="F4" s="7" t="s">
        <v>5</v>
      </c>
      <c r="G4" s="7" t="s">
        <v>7</v>
      </c>
      <c r="H4" s="5">
        <f t="shared" ref="H4:H67" si="1">H3+(C4*COS(RADIANS(J3)))</f>
        <v>90.691150383789761</v>
      </c>
      <c r="I4" s="5">
        <f t="shared" ref="I4:I67" si="2">I3+(C4*SIN(RADIANS(J3)))</f>
        <v>-90</v>
      </c>
      <c r="J4" s="5">
        <f>ROUNDDOWN(INDEX(ログ!S:S,$F$11+ROW(A3)-1) * $F$8,0)</f>
        <v>0</v>
      </c>
      <c r="K4" s="5"/>
    </row>
    <row r="5" spans="1:11">
      <c r="A5" t="str">
        <f>INDEX(ログ!A:A,$F$11+ROW(A4)-1)</f>
        <v xml:space="preserve">  0 :  0  0  1</v>
      </c>
      <c r="B5" s="6">
        <f>INDEX(ログ!N:N,$F$11+ROW(A4)-1)*$G$5</f>
        <v>1.0367255756846316</v>
      </c>
      <c r="C5" s="6">
        <f t="shared" si="0"/>
        <v>1.0367255756846316</v>
      </c>
      <c r="D5" s="6">
        <f>SUBSTITUTE(INDEX(ログ!P:P,$F$11+ROW(A4)-1),":","")*$G$5</f>
        <v>1.0367255756846316</v>
      </c>
      <c r="E5" s="4"/>
      <c r="F5" s="8">
        <v>22</v>
      </c>
      <c r="G5" s="9">
        <f>F5*PI()/G2</f>
        <v>0.17278759594743862</v>
      </c>
      <c r="H5" s="5">
        <f t="shared" si="1"/>
        <v>91.727875959474389</v>
      </c>
      <c r="I5" s="5">
        <f t="shared" si="2"/>
        <v>-90</v>
      </c>
      <c r="J5" s="5">
        <f>ROUNDDOWN(INDEX(ログ!S:S,$F$11+ROW(A4)-1) * $F$8,0)</f>
        <v>0</v>
      </c>
      <c r="K5" s="5"/>
    </row>
    <row r="6" spans="1:11">
      <c r="A6" t="str">
        <f>INDEX(ログ!A:A,$F$11+ROW(A5)-1)</f>
        <v xml:space="preserve">  0 :  0  0  1</v>
      </c>
      <c r="B6" s="6">
        <f>INDEX(ログ!N:N,$F$11+ROW(A5)-1)*$G$5</f>
        <v>1.3823007675795089</v>
      </c>
      <c r="C6" s="6">
        <f t="shared" si="0"/>
        <v>1.2095131716320702</v>
      </c>
      <c r="D6" s="6">
        <f>SUBSTITUTE(INDEX(ログ!P:P,$F$11+ROW(A5)-1),":","")*$G$5</f>
        <v>1.0367255756846316</v>
      </c>
      <c r="E6" s="4"/>
      <c r="F6" s="2"/>
      <c r="G6" s="2"/>
      <c r="H6" s="5">
        <f t="shared" si="1"/>
        <v>92.937389131106457</v>
      </c>
      <c r="I6" s="5">
        <f t="shared" si="2"/>
        <v>-90</v>
      </c>
      <c r="J6" s="5">
        <f>ROUNDDOWN(INDEX(ログ!S:S,$F$11+ROW(A5)-1) * $F$8,0)</f>
        <v>0</v>
      </c>
      <c r="K6" s="5"/>
    </row>
    <row r="7" spans="1:11">
      <c r="A7" t="str">
        <f>INDEX(ログ!A:A,$F$11+ROW(A6)-1)</f>
        <v xml:space="preserve">  0 :  0  0  1</v>
      </c>
      <c r="B7" s="6">
        <f>INDEX(ログ!N:N,$F$11+ROW(A6)-1)*$G$5</f>
        <v>1.3823007675795089</v>
      </c>
      <c r="C7" s="6">
        <f t="shared" si="0"/>
        <v>1.3823007675795089</v>
      </c>
      <c r="D7" s="6">
        <f>SUBSTITUTE(INDEX(ログ!P:P,$F$11+ROW(A6)-1),":","")*$G$5</f>
        <v>1.3823007675795089</v>
      </c>
      <c r="E7" s="4"/>
      <c r="F7" s="7" t="s">
        <v>119</v>
      </c>
      <c r="G7" s="3"/>
      <c r="H7" s="5">
        <f t="shared" si="1"/>
        <v>94.319689898685965</v>
      </c>
      <c r="I7" s="5">
        <f t="shared" si="2"/>
        <v>-90</v>
      </c>
      <c r="J7" s="5">
        <f>ROUNDDOWN(INDEX(ログ!S:S,$F$11+ROW(A6)-1) * $F$8,0)</f>
        <v>0</v>
      </c>
      <c r="K7" s="5"/>
    </row>
    <row r="8" spans="1:11">
      <c r="A8" t="str">
        <f>INDEX(ログ!A:A,$F$11+ROW(A7)-1)</f>
        <v xml:space="preserve">  0 :  0  0  1</v>
      </c>
      <c r="B8" s="6">
        <f>INDEX(ログ!N:N,$F$11+ROW(A7)-1)*$G$5</f>
        <v>1.3823007675795089</v>
      </c>
      <c r="C8" s="6">
        <f t="shared" si="0"/>
        <v>1.3823007675795089</v>
      </c>
      <c r="D8" s="6">
        <f>SUBSTITUTE(INDEX(ログ!P:P,$F$11+ROW(A7)-1),":","")*$G$5</f>
        <v>1.3823007675795089</v>
      </c>
      <c r="E8" s="4"/>
      <c r="F8" s="11">
        <v>1</v>
      </c>
      <c r="G8" s="2"/>
      <c r="H8" s="5">
        <f t="shared" si="1"/>
        <v>95.701990666265473</v>
      </c>
      <c r="I8" s="5">
        <f t="shared" si="2"/>
        <v>-90</v>
      </c>
      <c r="J8" s="5">
        <f>ROUNDDOWN(INDEX(ログ!S:S,$F$11+ROW(A7)-1) * $F$8,0)</f>
        <v>0</v>
      </c>
      <c r="K8" s="5"/>
    </row>
    <row r="9" spans="1:11">
      <c r="A9" t="str">
        <f>INDEX(ログ!A:A,$F$11+ROW(A8)-1)</f>
        <v xml:space="preserve">  0 :  0  0  1</v>
      </c>
      <c r="B9" s="6">
        <f>INDEX(ログ!N:N,$F$11+ROW(A8)-1)*$G$5</f>
        <v>1.7278759594743862</v>
      </c>
      <c r="C9" s="6">
        <f t="shared" si="0"/>
        <v>1.9006635554218247</v>
      </c>
      <c r="D9" s="6">
        <f>SUBSTITUTE(INDEX(ログ!P:P,$F$11+ROW(A8)-1),":","")*$G$5</f>
        <v>2.0734511513692633</v>
      </c>
      <c r="E9" s="4"/>
      <c r="F9" s="2"/>
      <c r="G9" s="2"/>
      <c r="H9" s="5">
        <f t="shared" si="1"/>
        <v>97.602654221687303</v>
      </c>
      <c r="I9" s="5">
        <f t="shared" si="2"/>
        <v>-90</v>
      </c>
      <c r="J9" s="5">
        <f>ROUNDDOWN(INDEX(ログ!S:S,$F$11+ROW(A8)-1) * $F$8,0)</f>
        <v>0</v>
      </c>
      <c r="K9" s="5"/>
    </row>
    <row r="10" spans="1:11">
      <c r="A10" t="str">
        <f>INDEX(ログ!A:A,$F$11+ROW(A9)-1)</f>
        <v xml:space="preserve">  0 :  0  0  1</v>
      </c>
      <c r="B10" s="6">
        <f>INDEX(ログ!N:N,$F$11+ROW(A9)-1)*$G$5</f>
        <v>1.7278759594743862</v>
      </c>
      <c r="C10" s="6">
        <f t="shared" si="0"/>
        <v>1.9006635554218247</v>
      </c>
      <c r="D10" s="6">
        <f>SUBSTITUTE(INDEX(ログ!P:P,$F$11+ROW(A9)-1),":","")*$G$5</f>
        <v>2.0734511513692633</v>
      </c>
      <c r="E10" s="4"/>
      <c r="F10" s="7" t="s">
        <v>117</v>
      </c>
      <c r="G10" s="7" t="s">
        <v>118</v>
      </c>
      <c r="H10" s="5">
        <f t="shared" si="1"/>
        <v>99.503317777109132</v>
      </c>
      <c r="I10" s="5">
        <f t="shared" si="2"/>
        <v>-90</v>
      </c>
      <c r="J10" s="5">
        <f>ROUNDDOWN(INDEX(ログ!S:S,$F$11+ROW(A9)-1) * $F$8,0)</f>
        <v>0</v>
      </c>
      <c r="K10" s="5"/>
    </row>
    <row r="11" spans="1:11">
      <c r="A11" t="str">
        <f>INDEX(ログ!A:A,$F$11+ROW(A10)-1)</f>
        <v xml:space="preserve">  0 :  0  0  1</v>
      </c>
      <c r="B11" s="6">
        <f>INDEX(ログ!N:N,$F$11+ROW(A10)-1)*$G$5</f>
        <v>2.0734511513692633</v>
      </c>
      <c r="C11" s="6">
        <f t="shared" si="0"/>
        <v>2.0734511513692633</v>
      </c>
      <c r="D11" s="6">
        <f>SUBSTITUTE(INDEX(ログ!P:P,$F$11+ROW(A10)-1),":","")*$G$5</f>
        <v>2.0734511513692633</v>
      </c>
      <c r="E11" s="4"/>
      <c r="F11" s="7">
        <v>237</v>
      </c>
      <c r="G11" s="7">
        <v>400</v>
      </c>
      <c r="H11" s="5">
        <f t="shared" si="1"/>
        <v>101.5767689284784</v>
      </c>
      <c r="I11" s="5">
        <f t="shared" si="2"/>
        <v>-90</v>
      </c>
      <c r="J11" s="5">
        <f>ROUNDDOWN(INDEX(ログ!S:S,$F$11+ROW(A10)-1) * $F$8,0)</f>
        <v>0</v>
      </c>
      <c r="K11" s="5"/>
    </row>
    <row r="12" spans="1:11">
      <c r="A12" t="str">
        <f>INDEX(ログ!A:A,$F$11+ROW(A11)-1)</f>
        <v xml:space="preserve">  0 :  0  0  1</v>
      </c>
      <c r="B12" s="6">
        <f>INDEX(ログ!N:N,$F$11+ROW(A11)-1)*$G$5</f>
        <v>2.0734511513692633</v>
      </c>
      <c r="C12" s="6">
        <f t="shared" si="0"/>
        <v>2.2462387473167018</v>
      </c>
      <c r="D12" s="6">
        <f>SUBSTITUTE(INDEX(ログ!P:P,$F$11+ROW(A11)-1),":","")*$G$5</f>
        <v>2.4190263432641408</v>
      </c>
      <c r="E12" s="4"/>
      <c r="F12" s="2" t="s">
        <v>120</v>
      </c>
      <c r="G12" s="2" t="s">
        <v>121</v>
      </c>
      <c r="H12" s="5">
        <f t="shared" si="1"/>
        <v>103.8230076757951</v>
      </c>
      <c r="I12" s="5">
        <f t="shared" si="2"/>
        <v>-90</v>
      </c>
      <c r="J12" s="5">
        <f>ROUNDDOWN(INDEX(ログ!S:S,$F$11+ROW(A11)-1) * $F$8,0)</f>
        <v>0</v>
      </c>
      <c r="K12" s="5"/>
    </row>
    <row r="13" spans="1:11">
      <c r="A13" t="str">
        <f>INDEX(ログ!A:A,$F$11+ROW(A12)-1)</f>
        <v xml:space="preserve">  0 :  0  0  1</v>
      </c>
      <c r="B13" s="6">
        <f>INDEX(ログ!N:N,$F$11+ROW(A12)-1)*$G$5</f>
        <v>2.4190263432641408</v>
      </c>
      <c r="C13" s="6">
        <f t="shared" si="0"/>
        <v>2.4190263432641408</v>
      </c>
      <c r="D13" s="6">
        <f>SUBSTITUTE(INDEX(ログ!P:P,$F$11+ROW(A12)-1),":","")*$G$5</f>
        <v>2.4190263432641408</v>
      </c>
      <c r="E13" s="4"/>
      <c r="F13" s="2"/>
      <c r="G13" s="2"/>
      <c r="H13" s="5">
        <f t="shared" si="1"/>
        <v>106.24203401905923</v>
      </c>
      <c r="I13" s="5">
        <f t="shared" si="2"/>
        <v>-90</v>
      </c>
      <c r="J13" s="5">
        <f>ROUNDDOWN(INDEX(ログ!S:S,$F$11+ROW(A12)-1) * $F$8,0)</f>
        <v>0</v>
      </c>
      <c r="K13" s="5"/>
    </row>
    <row r="14" spans="1:11">
      <c r="A14" t="str">
        <f>INDEX(ログ!A:A,$F$11+ROW(A13)-1)</f>
        <v xml:space="preserve">  0 :  0  0  1</v>
      </c>
      <c r="B14" s="6">
        <f>INDEX(ログ!N:N,$F$11+ROW(A13)-1)*$G$5</f>
        <v>2.4190263432641408</v>
      </c>
      <c r="C14" s="6">
        <f t="shared" si="0"/>
        <v>2.4190263432641408</v>
      </c>
      <c r="D14" s="6">
        <f>SUBSTITUTE(INDEX(ログ!P:P,$F$11+ROW(A13)-1),":","")*$G$5</f>
        <v>2.4190263432641408</v>
      </c>
      <c r="E14" s="4"/>
      <c r="F14" s="2"/>
      <c r="G14" s="2"/>
      <c r="H14" s="5">
        <f t="shared" si="1"/>
        <v>108.66106036232337</v>
      </c>
      <c r="I14" s="5">
        <f t="shared" si="2"/>
        <v>-90</v>
      </c>
      <c r="J14" s="5">
        <f>ROUNDDOWN(INDEX(ログ!S:S,$F$11+ROW(A13)-1) * $F$8,0)</f>
        <v>0</v>
      </c>
      <c r="K14" s="5"/>
    </row>
    <row r="15" spans="1:11">
      <c r="A15" t="str">
        <f>INDEX(ログ!A:A,$F$11+ROW(A14)-1)</f>
        <v xml:space="preserve">  0 :  0  0  1</v>
      </c>
      <c r="B15" s="6">
        <f>INDEX(ログ!N:N,$F$11+ROW(A14)-1)*$G$5</f>
        <v>2.4190263432641408</v>
      </c>
      <c r="C15" s="6">
        <f t="shared" si="0"/>
        <v>2.5918139392115793</v>
      </c>
      <c r="D15" s="6">
        <f>SUBSTITUTE(INDEX(ログ!P:P,$F$11+ROW(A14)-1),":","")*$G$5</f>
        <v>2.7646015351590179</v>
      </c>
      <c r="E15" s="4"/>
      <c r="F15" s="2"/>
      <c r="G15" s="2"/>
      <c r="H15" s="5">
        <f t="shared" si="1"/>
        <v>111.25287430153494</v>
      </c>
      <c r="I15" s="5">
        <f t="shared" si="2"/>
        <v>-90</v>
      </c>
      <c r="J15" s="5">
        <f>ROUNDDOWN(INDEX(ログ!S:S,$F$11+ROW(A14)-1) * $F$8,0)</f>
        <v>0</v>
      </c>
      <c r="K15" s="5"/>
    </row>
    <row r="16" spans="1:11">
      <c r="A16" t="str">
        <f>INDEX(ログ!A:A,$F$11+ROW(A15)-1)</f>
        <v xml:space="preserve">  0 :  0  0  1</v>
      </c>
      <c r="B16" s="6">
        <f>INDEX(ログ!N:N,$F$11+ROW(A15)-1)*$G$5</f>
        <v>2.7646015351590179</v>
      </c>
      <c r="C16" s="6">
        <f t="shared" si="0"/>
        <v>2.9373891311064564</v>
      </c>
      <c r="D16" s="6">
        <f>SUBSTITUTE(INDEX(ログ!P:P,$F$11+ROW(A15)-1),":","")*$G$5</f>
        <v>3.1101767270538949</v>
      </c>
      <c r="E16" s="4"/>
      <c r="F16" s="2"/>
      <c r="G16" s="2"/>
      <c r="H16" s="5">
        <f t="shared" si="1"/>
        <v>114.1902634326414</v>
      </c>
      <c r="I16" s="5">
        <f t="shared" si="2"/>
        <v>-90</v>
      </c>
      <c r="J16" s="5">
        <f>ROUNDDOWN(INDEX(ログ!S:S,$F$11+ROW(A15)-1) * $F$8,0)</f>
        <v>0</v>
      </c>
      <c r="K16" s="5"/>
    </row>
    <row r="17" spans="1:11">
      <c r="A17" t="str">
        <f>INDEX(ログ!A:A,$F$11+ROW(A16)-1)</f>
        <v xml:space="preserve">  0 :  0  0  1</v>
      </c>
      <c r="B17" s="6">
        <f>INDEX(ログ!N:N,$F$11+ROW(A16)-1)*$G$5</f>
        <v>3.1101767270538949</v>
      </c>
      <c r="C17" s="6">
        <f t="shared" si="0"/>
        <v>2.9373891311064564</v>
      </c>
      <c r="D17" s="6">
        <f>SUBSTITUTE(INDEX(ログ!P:P,$F$11+ROW(A16)-1),":","")*$G$5</f>
        <v>2.7646015351590179</v>
      </c>
      <c r="E17" s="4"/>
      <c r="F17" s="2"/>
      <c r="G17" s="2"/>
      <c r="H17" s="5">
        <f t="shared" si="1"/>
        <v>117.12765256374786</v>
      </c>
      <c r="I17" s="5">
        <f t="shared" si="2"/>
        <v>-90</v>
      </c>
      <c r="J17" s="5">
        <f>ROUNDDOWN(INDEX(ログ!S:S,$F$11+ROW(A16)-1) * $F$8,0)</f>
        <v>0</v>
      </c>
      <c r="K17" s="5"/>
    </row>
    <row r="18" spans="1:11">
      <c r="A18" t="str">
        <f>INDEX(ログ!A:A,$F$11+ROW(A17)-1)</f>
        <v xml:space="preserve">  0 :  0  0  1</v>
      </c>
      <c r="B18" s="6">
        <f>INDEX(ログ!N:N,$F$11+ROW(A17)-1)*$G$5</f>
        <v>3.4557519189487724</v>
      </c>
      <c r="C18" s="6">
        <f t="shared" si="0"/>
        <v>3.4557519189487724</v>
      </c>
      <c r="D18" s="6">
        <f>SUBSTITUTE(INDEX(ログ!P:P,$F$11+ROW(A17)-1),":","")*$G$5</f>
        <v>3.4557519189487724</v>
      </c>
      <c r="E18" s="4"/>
      <c r="F18" s="2"/>
      <c r="G18" s="2"/>
      <c r="H18" s="5">
        <f t="shared" si="1"/>
        <v>120.58340448269664</v>
      </c>
      <c r="I18" s="5">
        <f t="shared" si="2"/>
        <v>-90</v>
      </c>
      <c r="J18" s="5">
        <f>ROUNDDOWN(INDEX(ログ!S:S,$F$11+ROW(A17)-1) * $F$8,0)</f>
        <v>0</v>
      </c>
      <c r="K18" s="5"/>
    </row>
    <row r="19" spans="1:11">
      <c r="A19" t="str">
        <f>INDEX(ログ!A:A,$F$11+ROW(A18)-1)</f>
        <v xml:space="preserve">  0 :  0  0  1</v>
      </c>
      <c r="B19" s="6">
        <f>INDEX(ログ!N:N,$F$11+ROW(A18)-1)*$G$5</f>
        <v>3.4557519189487724</v>
      </c>
      <c r="C19" s="6">
        <f t="shared" si="0"/>
        <v>3.628539514896211</v>
      </c>
      <c r="D19" s="6">
        <f>SUBSTITUTE(INDEX(ログ!P:P,$F$11+ROW(A18)-1),":","")*$G$5</f>
        <v>3.8013271108436495</v>
      </c>
      <c r="E19" s="4"/>
      <c r="F19" s="2"/>
      <c r="G19" s="2"/>
      <c r="H19" s="5">
        <f t="shared" si="1"/>
        <v>124.21194399759284</v>
      </c>
      <c r="I19" s="5">
        <f t="shared" si="2"/>
        <v>-90</v>
      </c>
      <c r="J19" s="5">
        <f>ROUNDDOWN(INDEX(ログ!S:S,$F$11+ROW(A18)-1) * $F$8,0)</f>
        <v>0</v>
      </c>
      <c r="K19" s="5"/>
    </row>
    <row r="20" spans="1:11">
      <c r="A20" t="str">
        <f>INDEX(ログ!A:A,$F$11+ROW(A19)-1)</f>
        <v xml:space="preserve">  0 :  0  0  1</v>
      </c>
      <c r="B20" s="6">
        <f>INDEX(ログ!N:N,$F$11+ROW(A19)-1)*$G$5</f>
        <v>4.1469023027385266</v>
      </c>
      <c r="C20" s="6">
        <f t="shared" si="0"/>
        <v>4.1469023027385266</v>
      </c>
      <c r="D20" s="6">
        <f>SUBSTITUTE(INDEX(ログ!P:P,$F$11+ROW(A19)-1),":","")*$G$5</f>
        <v>4.1469023027385266</v>
      </c>
      <c r="E20" s="4"/>
      <c r="F20" s="2"/>
      <c r="G20" s="2"/>
      <c r="H20" s="5">
        <f t="shared" si="1"/>
        <v>128.35884630033138</v>
      </c>
      <c r="I20" s="5">
        <f t="shared" si="2"/>
        <v>-90</v>
      </c>
      <c r="J20" s="5">
        <f>ROUNDDOWN(INDEX(ログ!S:S,$F$11+ROW(A19)-1) * $F$8,0)</f>
        <v>0</v>
      </c>
      <c r="K20" s="5"/>
    </row>
    <row r="21" spans="1:11">
      <c r="A21" t="str">
        <f>INDEX(ログ!A:A,$F$11+ROW(A20)-1)</f>
        <v xml:space="preserve">  0 :  0  0  1</v>
      </c>
      <c r="B21" s="6">
        <f>INDEX(ログ!N:N,$F$11+ROW(A20)-1)*$G$5</f>
        <v>4.4924774946334036</v>
      </c>
      <c r="C21" s="6">
        <f t="shared" si="0"/>
        <v>4.6652650905808422</v>
      </c>
      <c r="D21" s="6">
        <f>SUBSTITUTE(INDEX(ログ!P:P,$F$11+ROW(A20)-1),":","")*$G$5</f>
        <v>4.8380526865282816</v>
      </c>
      <c r="E21" s="4"/>
      <c r="F21" s="2"/>
      <c r="G21" s="2"/>
      <c r="H21" s="5">
        <f t="shared" si="1"/>
        <v>133.02411139091222</v>
      </c>
      <c r="I21" s="5">
        <f t="shared" si="2"/>
        <v>-90</v>
      </c>
      <c r="J21" s="5">
        <f>ROUNDDOWN(INDEX(ログ!S:S,$F$11+ROW(A20)-1) * $F$8,0)</f>
        <v>0</v>
      </c>
      <c r="K21" s="5"/>
    </row>
    <row r="22" spans="1:11">
      <c r="A22" t="str">
        <f>INDEX(ログ!A:A,$F$11+ROW(A21)-1)</f>
        <v xml:space="preserve">  0 :  0  0  1</v>
      </c>
      <c r="B22" s="6">
        <f>INDEX(ログ!N:N,$F$11+ROW(A21)-1)*$G$5</f>
        <v>4.8380526865282816</v>
      </c>
      <c r="C22" s="6">
        <f t="shared" si="0"/>
        <v>5.0108402824757201</v>
      </c>
      <c r="D22" s="6">
        <f>SUBSTITUTE(INDEX(ログ!P:P,$F$11+ROW(A21)-1),":","")*$G$5</f>
        <v>5.1836278784231586</v>
      </c>
      <c r="E22" s="4"/>
      <c r="F22" s="2"/>
      <c r="G22" s="2"/>
      <c r="H22" s="5">
        <f t="shared" si="1"/>
        <v>138.03495167338795</v>
      </c>
      <c r="I22" s="5">
        <f t="shared" si="2"/>
        <v>-90</v>
      </c>
      <c r="J22" s="5">
        <f>ROUNDDOWN(INDEX(ログ!S:S,$F$11+ROW(A21)-1) * $F$8,0)</f>
        <v>0</v>
      </c>
      <c r="K22" s="5"/>
    </row>
    <row r="23" spans="1:11">
      <c r="A23" t="str">
        <f>INDEX(ログ!A:A,$F$11+ROW(A22)-1)</f>
        <v xml:space="preserve">  0 :  0  0  1</v>
      </c>
      <c r="B23" s="6">
        <f>INDEX(ログ!N:N,$F$11+ROW(A22)-1)*$G$5</f>
        <v>5.8747782622129128</v>
      </c>
      <c r="C23" s="6">
        <f t="shared" si="0"/>
        <v>6.0475658581603513</v>
      </c>
      <c r="D23" s="6">
        <f>SUBSTITUTE(INDEX(ログ!P:P,$F$11+ROW(A22)-1),":","")*$G$5</f>
        <v>6.2203534541077898</v>
      </c>
      <c r="E23" s="4"/>
      <c r="F23" s="2"/>
      <c r="G23" s="2"/>
      <c r="H23" s="5">
        <f t="shared" si="1"/>
        <v>144.08251753154829</v>
      </c>
      <c r="I23" s="5">
        <f t="shared" si="2"/>
        <v>-90</v>
      </c>
      <c r="J23" s="5">
        <f>ROUNDDOWN(INDEX(ログ!S:S,$F$11+ROW(A22)-1) * $F$8,0)</f>
        <v>0</v>
      </c>
      <c r="K23" s="5"/>
    </row>
    <row r="24" spans="1:11">
      <c r="A24" t="str">
        <f>INDEX(ログ!A:A,$F$11+ROW(A23)-1)</f>
        <v xml:space="preserve">  0 :  0  0  1</v>
      </c>
      <c r="B24" s="6">
        <f>INDEX(ログ!N:N,$F$11+ROW(A23)-1)*$G$5</f>
        <v>6.9115038378975449</v>
      </c>
      <c r="C24" s="6">
        <f t="shared" si="0"/>
        <v>6.7387162419501063</v>
      </c>
      <c r="D24" s="6">
        <f>SUBSTITUTE(INDEX(ログ!P:P,$F$11+ROW(A23)-1),":","")*$G$5</f>
        <v>6.5659286460026678</v>
      </c>
      <c r="E24" s="4"/>
      <c r="F24" s="2"/>
      <c r="G24" s="2"/>
      <c r="H24" s="5">
        <f t="shared" si="1"/>
        <v>150.82123377349839</v>
      </c>
      <c r="I24" s="5">
        <f t="shared" si="2"/>
        <v>-90</v>
      </c>
      <c r="J24" s="5">
        <f>ROUNDDOWN(INDEX(ログ!S:S,$F$11+ROW(A23)-1) * $F$8,0)</f>
        <v>0</v>
      </c>
      <c r="K24" s="5"/>
    </row>
    <row r="25" spans="1:11">
      <c r="A25" t="str">
        <f>INDEX(ログ!A:A,$F$11+ROW(A24)-1)</f>
        <v xml:space="preserve">  0 :  0  0  1</v>
      </c>
      <c r="B25" s="6">
        <f>INDEX(ログ!N:N,$F$11+ROW(A24)-1)*$G$5</f>
        <v>8.2938046054770531</v>
      </c>
      <c r="C25" s="6">
        <f t="shared" si="0"/>
        <v>7.7754418176347375</v>
      </c>
      <c r="D25" s="6">
        <f>SUBSTITUTE(INDEX(ログ!P:P,$F$11+ROW(A24)-1),":","")*$G$5</f>
        <v>7.2570790297924219</v>
      </c>
      <c r="E25" s="4"/>
      <c r="F25" s="2"/>
      <c r="G25" s="2"/>
      <c r="H25" s="5">
        <f t="shared" si="1"/>
        <v>158.59667559113313</v>
      </c>
      <c r="I25" s="5">
        <f t="shared" si="2"/>
        <v>-90</v>
      </c>
      <c r="J25" s="5">
        <f>ROUNDDOWN(INDEX(ログ!S:S,$F$11+ROW(A24)-1) * $F$8,0)</f>
        <v>0</v>
      </c>
      <c r="K25" s="5"/>
    </row>
    <row r="26" spans="1:11">
      <c r="A26" t="str">
        <f>INDEX(ログ!A:A,$F$11+ROW(A25)-1)</f>
        <v xml:space="preserve">  0 :  0  0  1</v>
      </c>
      <c r="B26" s="6">
        <f>INDEX(ログ!N:N,$F$11+ROW(A25)-1)*$G$5</f>
        <v>8.6393797973719302</v>
      </c>
      <c r="C26" s="6">
        <f t="shared" si="0"/>
        <v>8.2938046054770531</v>
      </c>
      <c r="D26" s="6">
        <f>SUBSTITUTE(INDEX(ログ!P:P,$F$11+ROW(A25)-1),":","")*$G$5</f>
        <v>7.9482294135821761</v>
      </c>
      <c r="E26" s="4"/>
      <c r="F26" s="2"/>
      <c r="G26" s="2"/>
      <c r="H26" s="5">
        <f t="shared" si="1"/>
        <v>166.89048019661018</v>
      </c>
      <c r="I26" s="5">
        <f t="shared" si="2"/>
        <v>-90</v>
      </c>
      <c r="J26" s="5">
        <f>ROUNDDOWN(INDEX(ログ!S:S,$F$11+ROW(A25)-1) * $F$8,0)</f>
        <v>0</v>
      </c>
      <c r="K26" s="5"/>
    </row>
    <row r="27" spans="1:11">
      <c r="A27" t="str">
        <f>INDEX(ログ!A:A,$F$11+ROW(A26)-1)</f>
        <v xml:space="preserve">  0 :  0  0  1</v>
      </c>
      <c r="B27" s="6">
        <f>INDEX(ログ!N:N,$F$11+ROW(A26)-1)*$G$5</f>
        <v>9.3305301811616861</v>
      </c>
      <c r="C27" s="6">
        <f t="shared" si="0"/>
        <v>9.1577425852142476</v>
      </c>
      <c r="D27" s="6">
        <f>SUBSTITUTE(INDEX(ログ!P:P,$F$11+ROW(A26)-1),":","")*$G$5</f>
        <v>8.9849549892668072</v>
      </c>
      <c r="E27" s="4"/>
      <c r="F27" s="2"/>
      <c r="G27" s="2"/>
      <c r="H27" s="5">
        <f t="shared" si="1"/>
        <v>176.04822278182442</v>
      </c>
      <c r="I27" s="5">
        <f t="shared" si="2"/>
        <v>-90</v>
      </c>
      <c r="J27" s="5">
        <f>ROUNDDOWN(INDEX(ログ!S:S,$F$11+ROW(A26)-1) * $F$8,0)</f>
        <v>0</v>
      </c>
      <c r="K27" s="5"/>
    </row>
    <row r="28" spans="1:11">
      <c r="A28" t="str">
        <f>INDEX(ログ!A:A,$F$11+ROW(A27)-1)</f>
        <v xml:space="preserve">  0 :  0  0  1</v>
      </c>
      <c r="B28" s="6">
        <f>INDEX(ログ!N:N,$F$11+ROW(A27)-1)*$G$5</f>
        <v>12.786282100110457</v>
      </c>
      <c r="C28" s="6">
        <f t="shared" si="0"/>
        <v>11.749556524425826</v>
      </c>
      <c r="D28" s="6">
        <f>SUBSTITUTE(INDEX(ログ!P:P,$F$11+ROW(A27)-1),":","")*$G$5</f>
        <v>10.712830948741194</v>
      </c>
      <c r="E28" s="4"/>
      <c r="F28" s="2"/>
      <c r="G28" s="2"/>
      <c r="H28" s="5">
        <f t="shared" si="1"/>
        <v>187.79777930625025</v>
      </c>
      <c r="I28" s="5">
        <f t="shared" si="2"/>
        <v>-90</v>
      </c>
      <c r="J28" s="5">
        <f>ROUNDDOWN(INDEX(ログ!S:S,$F$11+ROW(A27)-1) * $F$8,0)</f>
        <v>0</v>
      </c>
      <c r="K28" s="5"/>
    </row>
    <row r="29" spans="1:11">
      <c r="A29" t="str">
        <f>INDEX(ログ!A:A,$F$11+ROW(A28)-1)</f>
        <v xml:space="preserve">  0 :  0  0  1</v>
      </c>
      <c r="B29" s="6">
        <f>INDEX(ログ!N:N,$F$11+ROW(A28)-1)*$G$5</f>
        <v>17.969909978533614</v>
      </c>
      <c r="C29" s="6">
        <f t="shared" si="0"/>
        <v>15.378096039322035</v>
      </c>
      <c r="D29" s="6">
        <f>SUBSTITUTE(INDEX(ログ!P:P,$F$11+ROW(A28)-1),":","")*$G$5</f>
        <v>12.786282100110457</v>
      </c>
      <c r="E29" s="4"/>
      <c r="F29" s="2"/>
      <c r="G29" s="2"/>
      <c r="H29" s="5">
        <f t="shared" si="1"/>
        <v>203.17587534557228</v>
      </c>
      <c r="I29" s="5">
        <f t="shared" si="2"/>
        <v>-90</v>
      </c>
      <c r="J29" s="5">
        <f>ROUNDDOWN(INDEX(ログ!S:S,$F$11+ROW(A28)-1) * $F$8,0)</f>
        <v>0</v>
      </c>
      <c r="K29" s="5"/>
    </row>
    <row r="30" spans="1:11">
      <c r="A30" t="str">
        <f>INDEX(ログ!A:A,$F$11+ROW(A29)-1)</f>
        <v xml:space="preserve">  0 :  0  0  1</v>
      </c>
      <c r="B30" s="6">
        <f>INDEX(ログ!N:N,$F$11+ROW(A29)-1)*$G$5</f>
        <v>19.006635554218249</v>
      </c>
      <c r="C30" s="6">
        <f t="shared" si="0"/>
        <v>15.896458827164352</v>
      </c>
      <c r="D30" s="6">
        <f>SUBSTITUTE(INDEX(ログ!P:P,$F$11+ROW(A29)-1),":","")*$G$5</f>
        <v>12.786282100110457</v>
      </c>
      <c r="E30" s="4"/>
      <c r="F30" s="2"/>
      <c r="G30" s="2"/>
      <c r="H30" s="5">
        <f t="shared" si="1"/>
        <v>219.07233417273665</v>
      </c>
      <c r="I30" s="5">
        <f t="shared" si="2"/>
        <v>-90</v>
      </c>
      <c r="J30" s="5">
        <f>ROUNDDOWN(INDEX(ログ!S:S,$F$11+ROW(A29)-1) * $F$8,0)</f>
        <v>0</v>
      </c>
      <c r="K30" s="5"/>
    </row>
    <row r="31" spans="1:11">
      <c r="A31" t="str">
        <f>INDEX(ログ!A:A,$F$11+ROW(A30)-1)</f>
        <v xml:space="preserve">  0 :  0  0  1</v>
      </c>
      <c r="B31" s="6">
        <f>INDEX(ログ!N:N,$F$11+ROW(A30)-1)*$G$5</f>
        <v>21.771237089377266</v>
      </c>
      <c r="C31" s="6">
        <f t="shared" si="0"/>
        <v>17.969909978533614</v>
      </c>
      <c r="D31" s="6">
        <f>SUBSTITUTE(INDEX(ログ!P:P,$F$11+ROW(A30)-1),":","")*$G$5</f>
        <v>14.168582867689967</v>
      </c>
      <c r="E31" s="4"/>
      <c r="F31" s="2"/>
      <c r="G31" s="2"/>
      <c r="H31" s="5">
        <f t="shared" si="1"/>
        <v>237.04224415127027</v>
      </c>
      <c r="I31" s="5">
        <f t="shared" si="2"/>
        <v>-90</v>
      </c>
      <c r="J31" s="5">
        <f>ROUNDDOWN(INDEX(ログ!S:S,$F$11+ROW(A30)-1) * $F$8,0)</f>
        <v>2</v>
      </c>
      <c r="K31" s="5"/>
    </row>
    <row r="32" spans="1:11">
      <c r="A32" t="str">
        <f>INDEX(ログ!A:A,$F$11+ROW(A31)-1)</f>
        <v xml:space="preserve">  0 :  0  0  1</v>
      </c>
      <c r="B32" s="6">
        <f>INDEX(ログ!N:N,$F$11+ROW(A31)-1)*$G$5</f>
        <v>26.263714584010671</v>
      </c>
      <c r="C32" s="6">
        <f t="shared" si="0"/>
        <v>21.425661897482389</v>
      </c>
      <c r="D32" s="6">
        <f>SUBSTITUTE(INDEX(ログ!P:P,$F$11+ROW(A31)-1),":","")*$G$5</f>
        <v>16.587609210954106</v>
      </c>
      <c r="E32" s="4"/>
      <c r="F32" s="2"/>
      <c r="G32" s="2"/>
      <c r="H32" s="5">
        <f t="shared" si="1"/>
        <v>258.45485411442672</v>
      </c>
      <c r="I32" s="5">
        <f t="shared" si="2"/>
        <v>-89.252255183259919</v>
      </c>
      <c r="J32" s="5">
        <f>ROUNDDOWN(INDEX(ログ!S:S,$F$11+ROW(A31)-1) * $F$8,0)</f>
        <v>2</v>
      </c>
      <c r="K32" s="5"/>
    </row>
    <row r="33" spans="1:11">
      <c r="A33" t="str">
        <f>INDEX(ログ!A:A,$F$11+ROW(A32)-1)</f>
        <v xml:space="preserve">  0 :  0  0  1</v>
      </c>
      <c r="B33" s="6">
        <f>INDEX(ログ!N:N,$F$11+ROW(A32)-1)*$G$5</f>
        <v>28.337165735379934</v>
      </c>
      <c r="C33" s="6">
        <f t="shared" si="0"/>
        <v>21.944024685324706</v>
      </c>
      <c r="D33" s="6">
        <f>SUBSTITUTE(INDEX(ログ!P:P,$F$11+ROW(A32)-1),":","")*$G$5</f>
        <v>15.550883635269475</v>
      </c>
      <c r="E33" s="4"/>
      <c r="F33" s="2"/>
      <c r="G33" s="2"/>
      <c r="H33" s="5">
        <f t="shared" si="1"/>
        <v>280.38551109282082</v>
      </c>
      <c r="I33" s="5">
        <f t="shared" si="2"/>
        <v>-88.486419766114835</v>
      </c>
      <c r="J33" s="5">
        <f>ROUNDDOWN(INDEX(ログ!S:S,$F$11+ROW(A32)-1) * $F$8,0)</f>
        <v>2</v>
      </c>
      <c r="K33" s="5"/>
    </row>
    <row r="34" spans="1:11">
      <c r="A34" t="str">
        <f>INDEX(ログ!A:A,$F$11+ROW(A33)-1)</f>
        <v xml:space="preserve">  0 :  0  0  1</v>
      </c>
      <c r="B34" s="6">
        <f>INDEX(ログ!N:N,$F$11+ROW(A33)-1)*$G$5</f>
        <v>27.646015351590179</v>
      </c>
      <c r="C34" s="6">
        <f t="shared" si="0"/>
        <v>21.771237089377266</v>
      </c>
      <c r="D34" s="6">
        <f>SUBSTITUTE(INDEX(ログ!P:P,$F$11+ROW(A33)-1),":","")*$G$5</f>
        <v>15.896458827164352</v>
      </c>
      <c r="E34" s="4"/>
      <c r="F34" s="2"/>
      <c r="G34" s="2"/>
      <c r="H34" s="5">
        <f t="shared" si="1"/>
        <v>302.14348573280239</v>
      </c>
      <c r="I34" s="5">
        <f t="shared" si="2"/>
        <v>-87.726614549104752</v>
      </c>
      <c r="J34" s="5">
        <f>ROUNDDOWN(INDEX(ログ!S:S,$F$11+ROW(A33)-1) * $F$8,0)</f>
        <v>4</v>
      </c>
      <c r="K34" s="5"/>
    </row>
    <row r="35" spans="1:11">
      <c r="A35" t="str">
        <f>INDEX(ログ!A:A,$F$11+ROW(A34)-1)</f>
        <v xml:space="preserve">  0 :  0  0  1</v>
      </c>
      <c r="B35" s="6">
        <f>INDEX(ログ!N:N,$F$11+ROW(A34)-1)*$G$5</f>
        <v>20.04336112990288</v>
      </c>
      <c r="C35" s="6">
        <f t="shared" si="0"/>
        <v>16.587609210954106</v>
      </c>
      <c r="D35" s="6">
        <f>SUBSTITUTE(INDEX(ログ!P:P,$F$11+ROW(A34)-1),":","")*$G$5</f>
        <v>13.131857292005336</v>
      </c>
      <c r="E35" s="4"/>
      <c r="F35" s="2"/>
      <c r="G35" s="2"/>
      <c r="H35" s="5">
        <f t="shared" si="1"/>
        <v>318.69068836140895</v>
      </c>
      <c r="I35" s="5">
        <f t="shared" si="2"/>
        <v>-86.569521422703019</v>
      </c>
      <c r="J35" s="5">
        <f>ROUNDDOWN(INDEX(ログ!S:S,$F$11+ROW(A34)-1) * $F$8,0)</f>
        <v>2</v>
      </c>
      <c r="K35" s="5"/>
    </row>
    <row r="36" spans="1:11">
      <c r="A36" t="str">
        <f>INDEX(ログ!A:A,$F$11+ROW(A35)-1)</f>
        <v xml:space="preserve">  0 :  0  0  1</v>
      </c>
      <c r="B36" s="6">
        <f>INDEX(ログ!N:N,$F$11+ROW(A35)-1)*$G$5</f>
        <v>14.514158059584844</v>
      </c>
      <c r="C36" s="6">
        <f t="shared" si="0"/>
        <v>15.032520847427159</v>
      </c>
      <c r="D36" s="6">
        <f>SUBSTITUTE(INDEX(ログ!P:P,$F$11+ROW(A35)-1),":","")*$G$5</f>
        <v>15.550883635269475</v>
      </c>
      <c r="E36" s="4"/>
      <c r="F36" s="2"/>
      <c r="G36" s="2"/>
      <c r="H36" s="5">
        <f t="shared" si="1"/>
        <v>333.71405180330095</v>
      </c>
      <c r="I36" s="5">
        <f t="shared" si="2"/>
        <v>-86.044894010957961</v>
      </c>
      <c r="J36" s="5">
        <f>ROUNDDOWN(INDEX(ログ!S:S,$F$11+ROW(A35)-1) * $F$8,0)</f>
        <v>0</v>
      </c>
      <c r="K36" s="5"/>
    </row>
    <row r="37" spans="1:11">
      <c r="A37" t="str">
        <f>INDEX(ログ!A:A,$F$11+ROW(A36)-1)</f>
        <v xml:space="preserve">  0 :  0  0  1</v>
      </c>
      <c r="B37" s="6">
        <f>INDEX(ログ!N:N,$F$11+ROW(A36)-1)*$G$5</f>
        <v>14.859733251479721</v>
      </c>
      <c r="C37" s="6">
        <f t="shared" si="0"/>
        <v>15.032520847427159</v>
      </c>
      <c r="D37" s="6">
        <f>SUBSTITUTE(INDEX(ログ!P:P,$F$11+ROW(A36)-1),":","")*$G$5</f>
        <v>15.205308443374598</v>
      </c>
      <c r="E37" s="4"/>
      <c r="F37" s="2"/>
      <c r="G37" s="2"/>
      <c r="H37" s="5">
        <f t="shared" si="1"/>
        <v>348.74657265072813</v>
      </c>
      <c r="I37" s="5">
        <f t="shared" si="2"/>
        <v>-86.044894010957961</v>
      </c>
      <c r="J37" s="5">
        <f>ROUNDDOWN(INDEX(ログ!S:S,$F$11+ROW(A36)-1) * $F$8,0)</f>
        <v>-2</v>
      </c>
      <c r="K37" s="5"/>
    </row>
    <row r="38" spans="1:11">
      <c r="A38" t="str">
        <f>INDEX(ログ!A:A,$F$11+ROW(A37)-1)</f>
        <v xml:space="preserve">  0 :  0  0  1</v>
      </c>
      <c r="B38" s="6">
        <f>INDEX(ログ!N:N,$F$11+ROW(A37)-1)*$G$5</f>
        <v>13.82300767579509</v>
      </c>
      <c r="C38" s="6">
        <f t="shared" si="0"/>
        <v>13.82300767579509</v>
      </c>
      <c r="D38" s="6">
        <f>SUBSTITUTE(INDEX(ログ!P:P,$F$11+ROW(A37)-1),":","")*$G$5</f>
        <v>13.82300767579509</v>
      </c>
      <c r="E38" s="4"/>
      <c r="F38" s="2"/>
      <c r="G38" s="2"/>
      <c r="H38" s="5">
        <f t="shared" si="1"/>
        <v>362.56115972373232</v>
      </c>
      <c r="I38" s="5">
        <f t="shared" si="2"/>
        <v>-86.527310021758012</v>
      </c>
      <c r="J38" s="5">
        <f>ROUNDDOWN(INDEX(ログ!S:S,$F$11+ROW(A37)-1) * $F$8,0)</f>
        <v>-2</v>
      </c>
      <c r="K38" s="5"/>
    </row>
    <row r="39" spans="1:11">
      <c r="A39" t="str">
        <f>INDEX(ログ!A:A,$F$11+ROW(A38)-1)</f>
        <v xml:space="preserve">  0 :  0  0  1</v>
      </c>
      <c r="B39" s="6">
        <f>INDEX(ログ!N:N,$F$11+ROW(A38)-1)*$G$5</f>
        <v>11.058406140636071</v>
      </c>
      <c r="C39" s="6">
        <f t="shared" si="0"/>
        <v>12.095131716320704</v>
      </c>
      <c r="D39" s="6">
        <f>SUBSTITUTE(INDEX(ログ!P:P,$F$11+ROW(A38)-1),":","")*$G$5</f>
        <v>13.131857292005336</v>
      </c>
      <c r="E39" s="4"/>
      <c r="F39" s="2"/>
      <c r="G39" s="2"/>
      <c r="H39" s="5">
        <f t="shared" si="1"/>
        <v>374.64892341261094</v>
      </c>
      <c r="I39" s="5">
        <f t="shared" si="2"/>
        <v>-86.949424031208068</v>
      </c>
      <c r="J39" s="5">
        <f>ROUNDDOWN(INDEX(ログ!S:S,$F$11+ROW(A38)-1) * $F$8,0)</f>
        <v>-2</v>
      </c>
      <c r="K39" s="5"/>
    </row>
    <row r="40" spans="1:11">
      <c r="A40" t="str">
        <f>INDEX(ログ!A:A,$F$11+ROW(A39)-1)</f>
        <v xml:space="preserve">  0 :  0  0  1</v>
      </c>
      <c r="B40" s="6">
        <f>INDEX(ログ!N:N,$F$11+ROW(A39)-1)*$G$5</f>
        <v>12.786282100110457</v>
      </c>
      <c r="C40" s="6">
        <f t="shared" si="0"/>
        <v>12.959069696057895</v>
      </c>
      <c r="D40" s="6">
        <f>SUBSTITUTE(INDEX(ログ!P:P,$F$11+ROW(A39)-1),":","")*$G$5</f>
        <v>13.131857292005336</v>
      </c>
      <c r="E40" s="4"/>
      <c r="F40" s="2"/>
      <c r="G40" s="2"/>
      <c r="H40" s="5">
        <f t="shared" si="1"/>
        <v>387.60009879355232</v>
      </c>
      <c r="I40" s="5">
        <f t="shared" si="2"/>
        <v>-87.401689041333114</v>
      </c>
      <c r="J40" s="5">
        <f>ROUNDDOWN(INDEX(ログ!S:S,$F$11+ROW(A39)-1) * $F$8,0)</f>
        <v>-2</v>
      </c>
      <c r="K40" s="5"/>
    </row>
    <row r="41" spans="1:11">
      <c r="A41" t="str">
        <f>INDEX(ログ!A:A,$F$11+ROW(A40)-1)</f>
        <v xml:space="preserve">  0 :  0  0  1</v>
      </c>
      <c r="B41" s="6">
        <f>INDEX(ログ!N:N,$F$11+ROW(A40)-1)*$G$5</f>
        <v>12.44070690821558</v>
      </c>
      <c r="C41" s="6">
        <f t="shared" si="0"/>
        <v>12.613494504163018</v>
      </c>
      <c r="D41" s="6">
        <f>SUBSTITUTE(INDEX(ログ!P:P,$F$11+ROW(A40)-1),":","")*$G$5</f>
        <v>12.786282100110457</v>
      </c>
      <c r="E41" s="4"/>
      <c r="F41" s="2"/>
      <c r="G41" s="2"/>
      <c r="H41" s="5">
        <f t="shared" si="1"/>
        <v>400.20590949766864</v>
      </c>
      <c r="I41" s="5">
        <f t="shared" si="2"/>
        <v>-87.841893651188158</v>
      </c>
      <c r="J41" s="5">
        <f>ROUNDDOWN(INDEX(ログ!S:S,$F$11+ROW(A40)-1) * $F$8,0)</f>
        <v>-2</v>
      </c>
      <c r="K41" s="5"/>
    </row>
    <row r="42" spans="1:11">
      <c r="A42" t="str">
        <f>INDEX(ログ!A:A,$F$11+ROW(A41)-1)</f>
        <v xml:space="preserve">  3 :  0  0  1</v>
      </c>
      <c r="B42" s="6">
        <f>INDEX(ログ!N:N,$F$11+ROW(A41)-1)*$G$5</f>
        <v>11.749556524425826</v>
      </c>
      <c r="C42" s="6">
        <f t="shared" si="0"/>
        <v>11.922344120373264</v>
      </c>
      <c r="D42" s="6">
        <f>SUBSTITUTE(INDEX(ログ!P:P,$F$11+ROW(A41)-1),":","")*$G$5</f>
        <v>12.095131716320703</v>
      </c>
      <c r="E42" s="4"/>
      <c r="F42" s="2"/>
      <c r="G42" s="2"/>
      <c r="H42" s="5">
        <f t="shared" si="1"/>
        <v>412.12099084813474</v>
      </c>
      <c r="I42" s="5">
        <f t="shared" si="2"/>
        <v>-88.257977460503213</v>
      </c>
      <c r="J42" s="5">
        <f>ROUNDDOWN(INDEX(ログ!S:S,$F$11+ROW(A41)-1) * $F$8,0)</f>
        <v>-2</v>
      </c>
      <c r="K42" s="5"/>
    </row>
    <row r="43" spans="1:11">
      <c r="A43" t="str">
        <f>INDEX(ログ!A:A,$F$11+ROW(A42)-1)</f>
        <v xml:space="preserve">  3 :  0  0  1</v>
      </c>
      <c r="B43" s="6">
        <f>INDEX(ログ!N:N,$F$11+ROW(A42)-1)*$G$5</f>
        <v>12.44070690821558</v>
      </c>
      <c r="C43" s="6">
        <f t="shared" si="0"/>
        <v>12.613494504163018</v>
      </c>
      <c r="D43" s="6">
        <f>SUBSTITUTE(INDEX(ログ!P:P,$F$11+ROW(A42)-1),":","")*$G$5</f>
        <v>12.786282100110457</v>
      </c>
      <c r="E43" s="4"/>
      <c r="F43" s="2"/>
      <c r="G43" s="2"/>
      <c r="H43" s="5">
        <f t="shared" si="1"/>
        <v>424.72680155225106</v>
      </c>
      <c r="I43" s="5">
        <f t="shared" si="2"/>
        <v>-88.698182070358257</v>
      </c>
      <c r="J43" s="5">
        <f>ROUNDDOWN(INDEX(ログ!S:S,$F$11+ROW(A42)-1) * $F$8,0)</f>
        <v>-2</v>
      </c>
      <c r="K43" s="5"/>
    </row>
    <row r="44" spans="1:11">
      <c r="A44" t="str">
        <f>INDEX(ログ!A:A,$F$11+ROW(A43)-1)</f>
        <v xml:space="preserve">  3 :  0  0  1</v>
      </c>
      <c r="B44" s="6">
        <f>INDEX(ログ!N:N,$F$11+ROW(A43)-1)*$G$5</f>
        <v>12.786282100110457</v>
      </c>
      <c r="C44" s="6">
        <f t="shared" si="0"/>
        <v>13.131857292005336</v>
      </c>
      <c r="D44" s="6">
        <f>SUBSTITUTE(INDEX(ログ!P:P,$F$11+ROW(A43)-1),":","")*$G$5</f>
        <v>13.477432483900213</v>
      </c>
      <c r="E44" s="4"/>
      <c r="F44" s="2"/>
      <c r="G44" s="2"/>
      <c r="H44" s="5">
        <f t="shared" si="1"/>
        <v>437.85065927160502</v>
      </c>
      <c r="I44" s="5">
        <f t="shared" si="2"/>
        <v>-89.156477280618304</v>
      </c>
      <c r="J44" s="5">
        <f>ROUNDDOWN(INDEX(ログ!S:S,$F$11+ROW(A43)-1) * $F$8,0)</f>
        <v>-2</v>
      </c>
      <c r="K44" s="5"/>
    </row>
    <row r="45" spans="1:11">
      <c r="A45" t="str">
        <f>INDEX(ログ!A:A,$F$11+ROW(A44)-1)</f>
        <v xml:space="preserve">  3 :  0  0  1</v>
      </c>
      <c r="B45" s="6">
        <f>INDEX(ログ!N:N,$F$11+ROW(A44)-1)*$G$5</f>
        <v>14.514158059584844</v>
      </c>
      <c r="C45" s="6">
        <f t="shared" si="0"/>
        <v>13.477432483900213</v>
      </c>
      <c r="D45" s="6">
        <f>SUBSTITUTE(INDEX(ログ!P:P,$F$11+ROW(A44)-1),":","")*$G$5</f>
        <v>12.44070690821558</v>
      </c>
      <c r="E45" s="4"/>
      <c r="F45" s="2"/>
      <c r="G45" s="2"/>
      <c r="H45" s="5">
        <f t="shared" si="1"/>
        <v>451.3198816677841</v>
      </c>
      <c r="I45" s="5">
        <f t="shared" si="2"/>
        <v>-89.626832891148354</v>
      </c>
      <c r="J45" s="5">
        <f>ROUNDDOWN(INDEX(ログ!S:S,$F$11+ROW(A44)-1) * $F$8,0)</f>
        <v>-2</v>
      </c>
      <c r="K45" s="5"/>
    </row>
    <row r="46" spans="1:11">
      <c r="A46" t="str">
        <f>INDEX(ログ!A:A,$F$11+ROW(A45)-1)</f>
        <v xml:space="preserve">  3 :  0  0  1</v>
      </c>
      <c r="B46" s="6">
        <f>INDEX(ログ!N:N,$F$11+ROW(A45)-1)*$G$5</f>
        <v>12.786282100110457</v>
      </c>
      <c r="C46" s="6">
        <f t="shared" si="0"/>
        <v>11.922344120373264</v>
      </c>
      <c r="D46" s="6">
        <f>SUBSTITUTE(INDEX(ログ!P:P,$F$11+ROW(A45)-1),":","")*$G$5</f>
        <v>11.058406140636071</v>
      </c>
      <c r="E46" s="4"/>
      <c r="F46" s="2"/>
      <c r="G46" s="2"/>
      <c r="H46" s="5">
        <f t="shared" si="1"/>
        <v>463.2349630182502</v>
      </c>
      <c r="I46" s="5">
        <f t="shared" si="2"/>
        <v>-90.042916700463408</v>
      </c>
      <c r="J46" s="5">
        <f>ROUNDDOWN(INDEX(ログ!S:S,$F$11+ROW(A45)-1) * $F$8,0)</f>
        <v>0</v>
      </c>
      <c r="K46" s="5"/>
    </row>
    <row r="47" spans="1:11">
      <c r="A47" t="str">
        <f>INDEX(ログ!A:A,$F$11+ROW(A46)-1)</f>
        <v xml:space="preserve">  3 :  0  0  1</v>
      </c>
      <c r="B47" s="6">
        <f>INDEX(ログ!N:N,$F$11+ROW(A46)-1)*$G$5</f>
        <v>12.786282100110457</v>
      </c>
      <c r="C47" s="6">
        <f t="shared" si="0"/>
        <v>12.613494504163018</v>
      </c>
      <c r="D47" s="6">
        <f>SUBSTITUTE(INDEX(ログ!P:P,$F$11+ROW(A46)-1),":","")*$G$5</f>
        <v>12.44070690821558</v>
      </c>
      <c r="E47" s="4"/>
      <c r="F47" s="2"/>
      <c r="G47" s="2"/>
      <c r="H47" s="5">
        <f t="shared" si="1"/>
        <v>475.84845752241324</v>
      </c>
      <c r="I47" s="5">
        <f t="shared" si="2"/>
        <v>-90.042916700463408</v>
      </c>
      <c r="J47" s="5">
        <f>ROUNDDOWN(INDEX(ログ!S:S,$F$11+ROW(A46)-1) * $F$8,0)</f>
        <v>-2</v>
      </c>
      <c r="K47" s="5"/>
    </row>
    <row r="48" spans="1:11">
      <c r="A48" t="str">
        <f>INDEX(ログ!A:A,$F$11+ROW(A47)-1)</f>
        <v xml:space="preserve">  3 :  0  0  1</v>
      </c>
      <c r="B48" s="6">
        <f>INDEX(ログ!N:N,$F$11+ROW(A47)-1)*$G$5</f>
        <v>13.131857292005336</v>
      </c>
      <c r="C48" s="6">
        <f t="shared" si="0"/>
        <v>13.131857292005336</v>
      </c>
      <c r="D48" s="6">
        <f>SUBSTITUTE(INDEX(ログ!P:P,$F$11+ROW(A47)-1),":","")*$G$5</f>
        <v>13.131857292005336</v>
      </c>
      <c r="E48" s="4"/>
      <c r="F48" s="2"/>
      <c r="G48" s="2"/>
      <c r="H48" s="5">
        <f t="shared" si="1"/>
        <v>488.97231524176721</v>
      </c>
      <c r="I48" s="5">
        <f t="shared" si="2"/>
        <v>-90.501211910723455</v>
      </c>
      <c r="J48" s="5">
        <f>ROUNDDOWN(INDEX(ログ!S:S,$F$11+ROW(A47)-1) * $F$8,0)</f>
        <v>-2</v>
      </c>
      <c r="K48" s="5"/>
    </row>
    <row r="49" spans="1:11">
      <c r="A49" t="str">
        <f>INDEX(ログ!A:A,$F$11+ROW(A48)-1)</f>
        <v xml:space="preserve"> 15 :  0  0  1</v>
      </c>
      <c r="B49" s="6">
        <f>INDEX(ログ!N:N,$F$11+ROW(A48)-1)*$G$5</f>
        <v>12.786282100110457</v>
      </c>
      <c r="C49" s="6">
        <f t="shared" si="0"/>
        <v>13.131857292005336</v>
      </c>
      <c r="D49" s="6">
        <f>SUBSTITUTE(INDEX(ログ!P:P,$F$11+ROW(A48)-1),":","")*$G$5</f>
        <v>13.477432483900213</v>
      </c>
      <c r="E49" s="4"/>
      <c r="F49" s="2"/>
      <c r="G49" s="2"/>
      <c r="H49" s="5">
        <f t="shared" si="1"/>
        <v>502.09617296112117</v>
      </c>
      <c r="I49" s="5">
        <f t="shared" si="2"/>
        <v>-90.959507120983503</v>
      </c>
      <c r="J49" s="5">
        <f>ROUNDDOWN(INDEX(ログ!S:S,$F$11+ROW(A48)-1) * $F$8,0)</f>
        <v>-2</v>
      </c>
      <c r="K49" s="5"/>
    </row>
    <row r="50" spans="1:11">
      <c r="A50" t="str">
        <f>INDEX(ログ!A:A,$F$11+ROW(A49)-1)</f>
        <v xml:space="preserve"> 15 :  0  0  1</v>
      </c>
      <c r="B50" s="6">
        <f>INDEX(ログ!N:N,$F$11+ROW(A49)-1)*$G$5</f>
        <v>9.6761053730565632</v>
      </c>
      <c r="C50" s="6">
        <f t="shared" si="0"/>
        <v>10.712830948741194</v>
      </c>
      <c r="D50" s="6">
        <f>SUBSTITUTE(INDEX(ログ!P:P,$F$11+ROW(A49)-1),":","")*$G$5</f>
        <v>11.749556524425826</v>
      </c>
      <c r="E50" s="4"/>
      <c r="F50" s="2"/>
      <c r="G50" s="2"/>
      <c r="H50" s="5">
        <f t="shared" si="1"/>
        <v>512.8024779426994</v>
      </c>
      <c r="I50" s="5">
        <f t="shared" si="2"/>
        <v>-91.33337952935355</v>
      </c>
      <c r="J50" s="5">
        <f>ROUNDDOWN(INDEX(ログ!S:S,$F$11+ROW(A49)-1) * $F$8,0)</f>
        <v>-2</v>
      </c>
      <c r="K50" s="5"/>
    </row>
    <row r="51" spans="1:11">
      <c r="A51" t="str">
        <f>INDEX(ログ!A:A,$F$11+ROW(A50)-1)</f>
        <v xml:space="preserve"> 15 :  0  0  1</v>
      </c>
      <c r="B51" s="6">
        <f>INDEX(ログ!N:N,$F$11+ROW(A50)-1)*$G$5</f>
        <v>11.058406140636071</v>
      </c>
      <c r="C51" s="6">
        <f t="shared" si="0"/>
        <v>11.058406140636071</v>
      </c>
      <c r="D51" s="6">
        <f>SUBSTITUTE(INDEX(ログ!P:P,$F$11+ROW(A50)-1),":","")*$G$5</f>
        <v>11.058406140636071</v>
      </c>
      <c r="E51" s="4"/>
      <c r="F51" s="2"/>
      <c r="G51" s="2"/>
      <c r="H51" s="5">
        <f t="shared" si="1"/>
        <v>523.85414760110268</v>
      </c>
      <c r="I51" s="5">
        <f t="shared" si="2"/>
        <v>-91.7193123379936</v>
      </c>
      <c r="J51" s="5">
        <f>ROUNDDOWN(INDEX(ログ!S:S,$F$11+ROW(A50)-1) * $F$8,0)</f>
        <v>0</v>
      </c>
      <c r="K51" s="5"/>
    </row>
    <row r="52" spans="1:11">
      <c r="A52" t="str">
        <f>INDEX(ログ!A:A,$F$11+ROW(A51)-1)</f>
        <v xml:space="preserve"> 15 :  0  0  1</v>
      </c>
      <c r="B52" s="6">
        <f>INDEX(ログ!N:N,$F$11+ROW(A51)-1)*$G$5</f>
        <v>10.367255756846317</v>
      </c>
      <c r="C52" s="6">
        <f t="shared" si="0"/>
        <v>10.194468160898879</v>
      </c>
      <c r="D52" s="6">
        <f>SUBSTITUTE(INDEX(ログ!P:P,$F$11+ROW(A51)-1),":","")*$G$5</f>
        <v>10.02168056495144</v>
      </c>
      <c r="E52" s="4"/>
      <c r="F52" s="2"/>
      <c r="G52" s="2"/>
      <c r="H52" s="5">
        <f t="shared" si="1"/>
        <v>534.04861576200153</v>
      </c>
      <c r="I52" s="5">
        <f t="shared" si="2"/>
        <v>-91.7193123379936</v>
      </c>
      <c r="J52" s="5">
        <f>ROUNDDOWN(INDEX(ログ!S:S,$F$11+ROW(A51)-1) * $F$8,0)</f>
        <v>0</v>
      </c>
      <c r="K52" s="5"/>
    </row>
    <row r="53" spans="1:11">
      <c r="A53" t="str">
        <f>INDEX(ログ!A:A,$F$11+ROW(A52)-1)</f>
        <v xml:space="preserve"> 15 :  0  0  1</v>
      </c>
      <c r="B53" s="6">
        <f>INDEX(ログ!N:N,$F$11+ROW(A52)-1)*$G$5</f>
        <v>12.786282100110457</v>
      </c>
      <c r="C53" s="6">
        <f t="shared" si="0"/>
        <v>10.885618544688633</v>
      </c>
      <c r="D53" s="6">
        <f>SUBSTITUTE(INDEX(ログ!P:P,$F$11+ROW(A52)-1),":","")*$G$5</f>
        <v>8.9849549892668072</v>
      </c>
      <c r="E53" s="4"/>
      <c r="F53" s="2"/>
      <c r="G53" s="2"/>
      <c r="H53" s="5">
        <f t="shared" si="1"/>
        <v>544.9342343066902</v>
      </c>
      <c r="I53" s="5">
        <f t="shared" si="2"/>
        <v>-91.7193123379936</v>
      </c>
      <c r="J53" s="5">
        <f>ROUNDDOWN(INDEX(ログ!S:S,$F$11+ROW(A52)-1) * $F$8,0)</f>
        <v>0</v>
      </c>
      <c r="K53" s="5"/>
    </row>
    <row r="54" spans="1:11">
      <c r="A54" t="str">
        <f>INDEX(ログ!A:A,$F$11+ROW(A53)-1)</f>
        <v xml:space="preserve"> 15 :  0  0  1</v>
      </c>
      <c r="B54" s="6">
        <f>INDEX(ログ!N:N,$F$11+ROW(A53)-1)*$G$5</f>
        <v>13.131857292005336</v>
      </c>
      <c r="C54" s="6">
        <f t="shared" si="0"/>
        <v>11.23119373658351</v>
      </c>
      <c r="D54" s="6">
        <f>SUBSTITUTE(INDEX(ログ!P:P,$F$11+ROW(A53)-1),":","")*$G$5</f>
        <v>9.3305301811616861</v>
      </c>
      <c r="E54" s="4"/>
      <c r="F54" s="2"/>
      <c r="G54" s="2"/>
      <c r="H54" s="5">
        <f t="shared" si="1"/>
        <v>556.16542804327366</v>
      </c>
      <c r="I54" s="5">
        <f t="shared" si="2"/>
        <v>-91.7193123379936</v>
      </c>
      <c r="J54" s="5">
        <f>ROUNDDOWN(INDEX(ログ!S:S,$F$11+ROW(A53)-1) * $F$8,0)</f>
        <v>-2</v>
      </c>
      <c r="K54" s="5"/>
    </row>
    <row r="55" spans="1:11">
      <c r="A55" t="str">
        <f>INDEX(ログ!A:A,$F$11+ROW(A54)-1)</f>
        <v xml:space="preserve"> 15 :  0  0  1</v>
      </c>
      <c r="B55" s="6">
        <f>INDEX(ログ!N:N,$F$11+ROW(A54)-1)*$G$5</f>
        <v>13.131857292005336</v>
      </c>
      <c r="C55" s="6">
        <f t="shared" si="0"/>
        <v>10.712830948741194</v>
      </c>
      <c r="D55" s="6">
        <f>SUBSTITUTE(INDEX(ログ!P:P,$F$11+ROW(A54)-1),":","")*$G$5</f>
        <v>8.2938046054770531</v>
      </c>
      <c r="E55" s="4"/>
      <c r="F55" s="2"/>
      <c r="G55" s="2"/>
      <c r="H55" s="5">
        <f t="shared" si="1"/>
        <v>566.87173302485189</v>
      </c>
      <c r="I55" s="5">
        <f t="shared" si="2"/>
        <v>-92.093184746363647</v>
      </c>
      <c r="J55" s="5">
        <f>ROUNDDOWN(INDEX(ログ!S:S,$F$11+ROW(A54)-1) * $F$8,0)</f>
        <v>-6</v>
      </c>
      <c r="K55" s="5"/>
    </row>
    <row r="56" spans="1:11">
      <c r="A56" t="str">
        <f>INDEX(ログ!A:A,$F$11+ROW(A55)-1)</f>
        <v xml:space="preserve"> 15 :  0  0  1</v>
      </c>
      <c r="B56" s="6">
        <f>INDEX(ログ!N:N,$F$11+ROW(A55)-1)*$G$5</f>
        <v>13.477432483900213</v>
      </c>
      <c r="C56" s="6">
        <f t="shared" si="0"/>
        <v>10.367255756846317</v>
      </c>
      <c r="D56" s="6">
        <f>SUBSTITUTE(INDEX(ログ!P:P,$F$11+ROW(A55)-1),":","")*$G$5</f>
        <v>7.2570790297924219</v>
      </c>
      <c r="E56" s="4"/>
      <c r="F56" s="2"/>
      <c r="G56" s="2"/>
      <c r="H56" s="5">
        <f t="shared" si="1"/>
        <v>577.18219586991836</v>
      </c>
      <c r="I56" s="5">
        <f t="shared" si="2"/>
        <v>-93.176858058929525</v>
      </c>
      <c r="J56" s="5">
        <f>ROUNDDOWN(INDEX(ログ!S:S,$F$11+ROW(A55)-1) * $F$8,0)</f>
        <v>-10</v>
      </c>
      <c r="K56" s="5"/>
    </row>
    <row r="57" spans="1:11">
      <c r="A57" t="str">
        <f>INDEX(ログ!A:A,$F$11+ROW(A56)-1)</f>
        <v xml:space="preserve"> 15 :  0  0  1</v>
      </c>
      <c r="B57" s="6">
        <f>INDEX(ログ!N:N,$F$11+ROW(A56)-1)*$G$5</f>
        <v>14.514158059584844</v>
      </c>
      <c r="C57" s="6">
        <f t="shared" si="0"/>
        <v>10.885618544688633</v>
      </c>
      <c r="D57" s="6">
        <f>SUBSTITUTE(INDEX(ログ!P:P,$F$11+ROW(A56)-1),":","")*$G$5</f>
        <v>7.2570790297924219</v>
      </c>
      <c r="E57" s="4"/>
      <c r="F57" s="2"/>
      <c r="G57" s="2"/>
      <c r="H57" s="5">
        <f t="shared" si="1"/>
        <v>587.90243740906124</v>
      </c>
      <c r="I57" s="5">
        <f t="shared" si="2"/>
        <v>-95.067125881992055</v>
      </c>
      <c r="J57" s="5">
        <f>ROUNDDOWN(INDEX(ログ!S:S,$F$11+ROW(A56)-1) * $F$8,0)</f>
        <v>-16</v>
      </c>
      <c r="K57" s="5"/>
    </row>
    <row r="58" spans="1:11">
      <c r="A58" t="str">
        <f>INDEX(ログ!A:A,$F$11+ROW(A57)-1)</f>
        <v xml:space="preserve"> 15 :  0  0  1</v>
      </c>
      <c r="B58" s="6">
        <f>INDEX(ログ!N:N,$F$11+ROW(A57)-1)*$G$5</f>
        <v>15.550883635269475</v>
      </c>
      <c r="C58" s="6">
        <f t="shared" si="0"/>
        <v>11.058406140636071</v>
      </c>
      <c r="D58" s="6">
        <f>SUBSTITUTE(INDEX(ログ!P:P,$F$11+ROW(A57)-1),":","")*$G$5</f>
        <v>6.5659286460026678</v>
      </c>
      <c r="E58" s="4"/>
      <c r="F58" s="2"/>
      <c r="G58" s="2"/>
      <c r="H58" s="5">
        <f t="shared" si="1"/>
        <v>598.5324596501838</v>
      </c>
      <c r="I58" s="5">
        <f t="shared" si="2"/>
        <v>-98.115235710147445</v>
      </c>
      <c r="J58" s="5">
        <f>ROUNDDOWN(INDEX(ログ!S:S,$F$11+ROW(A57)-1) * $F$8,0)</f>
        <v>-22</v>
      </c>
      <c r="K58" s="5"/>
    </row>
    <row r="59" spans="1:11">
      <c r="A59" t="str">
        <f>INDEX(ログ!A:A,$F$11+ROW(A58)-1)</f>
        <v xml:space="preserve"> 15 :  0  0  1</v>
      </c>
      <c r="B59" s="6">
        <f>INDEX(ログ!N:N,$F$11+ROW(A58)-1)*$G$5</f>
        <v>13.82300767579509</v>
      </c>
      <c r="C59" s="6">
        <f t="shared" si="0"/>
        <v>10.367255756846317</v>
      </c>
      <c r="D59" s="6">
        <f>SUBSTITUTE(INDEX(ログ!P:P,$F$11+ROW(A58)-1),":","")*$G$5</f>
        <v>6.9115038378975449</v>
      </c>
      <c r="E59" s="4"/>
      <c r="F59" s="2"/>
      <c r="G59" s="2"/>
      <c r="H59" s="5">
        <f t="shared" si="1"/>
        <v>608.14481180409632</v>
      </c>
      <c r="I59" s="5">
        <f t="shared" si="2"/>
        <v>-101.99887807229115</v>
      </c>
      <c r="J59" s="5">
        <f>ROUNDDOWN(INDEX(ログ!S:S,$F$11+ROW(A58)-1) * $F$8,0)</f>
        <v>-30</v>
      </c>
      <c r="K59" s="5"/>
    </row>
    <row r="60" spans="1:11">
      <c r="A60" t="str">
        <f>INDEX(ログ!A:A,$F$11+ROW(A59)-1)</f>
        <v xml:space="preserve"> 15 :  0  0  1</v>
      </c>
      <c r="B60" s="6">
        <f>INDEX(ログ!N:N,$F$11+ROW(A59)-1)*$G$5</f>
        <v>13.477432483900213</v>
      </c>
      <c r="C60" s="6">
        <f t="shared" si="0"/>
        <v>10.367255756846317</v>
      </c>
      <c r="D60" s="6">
        <f>SUBSTITUTE(INDEX(ログ!P:P,$F$11+ROW(A59)-1),":","")*$G$5</f>
        <v>7.2570790297924219</v>
      </c>
      <c r="E60" s="4"/>
      <c r="F60" s="2"/>
      <c r="G60" s="2"/>
      <c r="H60" s="5">
        <f t="shared" si="1"/>
        <v>617.12311865705567</v>
      </c>
      <c r="I60" s="5">
        <f t="shared" si="2"/>
        <v>-107.1825059507143</v>
      </c>
      <c r="J60" s="5">
        <f>ROUNDDOWN(INDEX(ログ!S:S,$F$11+ROW(A59)-1) * $F$8,0)</f>
        <v>-36</v>
      </c>
      <c r="K60" s="5"/>
    </row>
    <row r="61" spans="1:11">
      <c r="A61" t="str">
        <f>INDEX(ログ!A:A,$F$11+ROW(A60)-1)</f>
        <v xml:space="preserve"> 15 :  0  0  1</v>
      </c>
      <c r="B61" s="6">
        <f>INDEX(ログ!N:N,$F$11+ROW(A60)-1)*$G$5</f>
        <v>14.168582867689967</v>
      </c>
      <c r="C61" s="6">
        <f t="shared" si="0"/>
        <v>10.712830948741194</v>
      </c>
      <c r="D61" s="6">
        <f>SUBSTITUTE(INDEX(ログ!P:P,$F$11+ROW(A60)-1),":","")*$G$5</f>
        <v>7.2570790297924219</v>
      </c>
      <c r="E61" s="4"/>
      <c r="F61" s="2"/>
      <c r="G61" s="2"/>
      <c r="H61" s="5">
        <f t="shared" si="1"/>
        <v>625.78998095245322</v>
      </c>
      <c r="I61" s="5">
        <f t="shared" si="2"/>
        <v>-113.47934999268676</v>
      </c>
      <c r="J61" s="5">
        <f>ROUNDDOWN(INDEX(ログ!S:S,$F$11+ROW(A60)-1) * $F$8,0)</f>
        <v>-44</v>
      </c>
      <c r="K61" s="5"/>
    </row>
    <row r="62" spans="1:11">
      <c r="A62" t="str">
        <f>INDEX(ログ!A:A,$F$11+ROW(A61)-1)</f>
        <v xml:space="preserve"> 15 :  0  0  1</v>
      </c>
      <c r="B62" s="6">
        <f>INDEX(ログ!N:N,$F$11+ROW(A61)-1)*$G$5</f>
        <v>14.168582867689967</v>
      </c>
      <c r="C62" s="6">
        <f t="shared" si="0"/>
        <v>10.885618544688633</v>
      </c>
      <c r="D62" s="6">
        <f>SUBSTITUTE(INDEX(ログ!P:P,$F$11+ROW(A61)-1),":","")*$G$5</f>
        <v>7.602654221687299</v>
      </c>
      <c r="E62" s="4"/>
      <c r="F62" s="2"/>
      <c r="G62" s="2"/>
      <c r="H62" s="5">
        <f t="shared" si="1"/>
        <v>633.62043962295229</v>
      </c>
      <c r="I62" s="5">
        <f t="shared" si="2"/>
        <v>-121.0411360323784</v>
      </c>
      <c r="J62" s="5">
        <f>ROUNDDOWN(INDEX(ログ!S:S,$F$11+ROW(A61)-1) * $F$8,0)</f>
        <v>-50</v>
      </c>
      <c r="K62" s="5"/>
    </row>
    <row r="63" spans="1:11">
      <c r="A63" t="str">
        <f>INDEX(ログ!A:A,$F$11+ROW(A62)-1)</f>
        <v xml:space="preserve"> 15 :  0  0  1</v>
      </c>
      <c r="B63" s="6">
        <f>INDEX(ログ!N:N,$F$11+ROW(A62)-1)*$G$5</f>
        <v>13.82300767579509</v>
      </c>
      <c r="C63" s="6">
        <f t="shared" si="0"/>
        <v>10.540043352793756</v>
      </c>
      <c r="D63" s="6">
        <f>SUBSTITUTE(INDEX(ログ!P:P,$F$11+ROW(A62)-1),":","")*$G$5</f>
        <v>7.2570790297924219</v>
      </c>
      <c r="E63" s="4"/>
      <c r="F63" s="2"/>
      <c r="G63" s="2"/>
      <c r="H63" s="5">
        <f t="shared" si="1"/>
        <v>640.39544889568708</v>
      </c>
      <c r="I63" s="5">
        <f t="shared" si="2"/>
        <v>-129.11527767301919</v>
      </c>
      <c r="J63" s="5">
        <f>ROUNDDOWN(INDEX(ログ!S:S,$F$11+ROW(A62)-1) * $F$8,0)</f>
        <v>-58</v>
      </c>
      <c r="K63" s="5"/>
    </row>
    <row r="64" spans="1:11">
      <c r="A64" t="str">
        <f>INDEX(ログ!A:A,$F$11+ROW(A63)-1)</f>
        <v xml:space="preserve"> 15 :  0  0  1</v>
      </c>
      <c r="B64" s="6">
        <f>INDEX(ログ!N:N,$F$11+ROW(A63)-1)*$G$5</f>
        <v>13.82300767579509</v>
      </c>
      <c r="C64" s="6">
        <f t="shared" si="0"/>
        <v>10.367255756846317</v>
      </c>
      <c r="D64" s="6">
        <f>SUBSTITUTE(INDEX(ログ!P:P,$F$11+ROW(A63)-1),":","")*$G$5</f>
        <v>6.9115038378975449</v>
      </c>
      <c r="E64" s="4"/>
      <c r="F64" s="2"/>
      <c r="G64" s="2"/>
      <c r="H64" s="5">
        <f t="shared" si="1"/>
        <v>645.88925743847255</v>
      </c>
      <c r="I64" s="5">
        <f t="shared" si="2"/>
        <v>-137.90720917997945</v>
      </c>
      <c r="J64" s="5">
        <f>ROUNDDOWN(INDEX(ログ!S:S,$F$11+ROW(A63)-1) * $F$8,0)</f>
        <v>-64</v>
      </c>
      <c r="K64" s="5"/>
    </row>
    <row r="65" spans="1:11">
      <c r="A65" t="str">
        <f>INDEX(ログ!A:A,$F$11+ROW(A64)-1)</f>
        <v xml:space="preserve"> 15 :  0  0  1</v>
      </c>
      <c r="B65" s="6">
        <f>INDEX(ログ!N:N,$F$11+ROW(A64)-1)*$G$5</f>
        <v>13.82300767579509</v>
      </c>
      <c r="C65" s="6">
        <f t="shared" si="0"/>
        <v>10.540043352793756</v>
      </c>
      <c r="D65" s="6">
        <f>SUBSTITUTE(INDEX(ログ!P:P,$F$11+ROW(A64)-1),":","")*$G$5</f>
        <v>7.2570790297924219</v>
      </c>
      <c r="E65" s="4"/>
      <c r="F65" s="2"/>
      <c r="G65" s="2"/>
      <c r="H65" s="5">
        <f t="shared" si="1"/>
        <v>650.50970833024337</v>
      </c>
      <c r="I65" s="5">
        <f t="shared" si="2"/>
        <v>-147.3805373932056</v>
      </c>
      <c r="J65" s="5">
        <f>ROUNDDOWN(INDEX(ログ!S:S,$F$11+ROW(A64)-1) * $F$8,0)</f>
        <v>-70</v>
      </c>
      <c r="K65" s="5"/>
    </row>
    <row r="66" spans="1:11">
      <c r="A66" t="str">
        <f>INDEX(ログ!A:A,$F$11+ROW(A65)-1)</f>
        <v xml:space="preserve"> 15 :  0  0  1</v>
      </c>
      <c r="B66" s="6">
        <f>INDEX(ログ!N:N,$F$11+ROW(A65)-1)*$G$5</f>
        <v>13.82300767579509</v>
      </c>
      <c r="C66" s="6">
        <f t="shared" si="0"/>
        <v>10.540043352793756</v>
      </c>
      <c r="D66" s="6">
        <f>SUBSTITUTE(INDEX(ログ!P:P,$F$11+ROW(A65)-1),":","")*$G$5</f>
        <v>7.2570790297924219</v>
      </c>
      <c r="E66" s="4"/>
      <c r="F66" s="2"/>
      <c r="G66" s="2"/>
      <c r="H66" s="5">
        <f t="shared" si="1"/>
        <v>654.11461546842463</v>
      </c>
      <c r="I66" s="5">
        <f t="shared" si="2"/>
        <v>-157.28493835458946</v>
      </c>
      <c r="J66" s="5">
        <f>ROUNDDOWN(INDEX(ログ!S:S,$F$11+ROW(A65)-1) * $F$8,0)</f>
        <v>-76</v>
      </c>
      <c r="K66" s="5"/>
    </row>
    <row r="67" spans="1:11">
      <c r="A67" t="str">
        <f>INDEX(ログ!A:A,$F$11+ROW(A66)-1)</f>
        <v xml:space="preserve"> 15 :  0  0  1</v>
      </c>
      <c r="B67" s="6">
        <f>INDEX(ログ!N:N,$F$11+ROW(A66)-1)*$G$5</f>
        <v>14.168582867689967</v>
      </c>
      <c r="C67" s="6">
        <f t="shared" ref="C67:C130" si="3">(B67+D67)/2</f>
        <v>10.712830948741194</v>
      </c>
      <c r="D67" s="6">
        <f>SUBSTITUTE(INDEX(ログ!P:P,$F$11+ROW(A66)-1),":","")*$G$5</f>
        <v>7.2570790297924219</v>
      </c>
      <c r="E67" s="4"/>
      <c r="F67" s="2"/>
      <c r="G67" s="2"/>
      <c r="H67" s="5">
        <f t="shared" si="1"/>
        <v>656.70628383878284</v>
      </c>
      <c r="I67" s="5">
        <f t="shared" si="2"/>
        <v>-167.67955244047027</v>
      </c>
      <c r="J67" s="5">
        <f>ROUNDDOWN(INDEX(ログ!S:S,$F$11+ROW(A66)-1) * $F$8,0)</f>
        <v>-84</v>
      </c>
      <c r="K67" s="5"/>
    </row>
    <row r="68" spans="1:11">
      <c r="A68" t="str">
        <f>INDEX(ログ!A:A,$F$11+ROW(A67)-1)</f>
        <v xml:space="preserve"> 15 :  0  0  1</v>
      </c>
      <c r="B68" s="6">
        <f>INDEX(ログ!N:N,$F$11+ROW(A67)-1)*$G$5</f>
        <v>14.168582867689967</v>
      </c>
      <c r="C68" s="6">
        <f t="shared" si="3"/>
        <v>10.540043352793756</v>
      </c>
      <c r="D68" s="6">
        <f>SUBSTITUTE(INDEX(ログ!P:P,$F$11+ROW(A67)-1),":","")*$G$5</f>
        <v>6.9115038378975449</v>
      </c>
      <c r="E68" s="4"/>
      <c r="F68" s="2"/>
      <c r="G68" s="2"/>
      <c r="H68" s="5">
        <f t="shared" ref="H68:H131" si="4">H67+(C68*COS(RADIANS(J67)))</f>
        <v>657.80801837322485</v>
      </c>
      <c r="I68" s="5">
        <f t="shared" ref="I68:I131" si="5">I67+(C68*SIN(RADIANS(J67)))</f>
        <v>-178.1618563329545</v>
      </c>
      <c r="J68" s="5">
        <f>ROUNDDOWN(INDEX(ログ!S:S,$F$11+ROW(A67)-1) * $F$8,0)</f>
        <v>-90</v>
      </c>
      <c r="K68" s="5"/>
    </row>
    <row r="69" spans="1:11">
      <c r="A69" t="str">
        <f>INDEX(ログ!A:A,$F$11+ROW(A68)-1)</f>
        <v xml:space="preserve"> 15 :  0  0  1</v>
      </c>
      <c r="B69" s="6">
        <f>INDEX(ログ!N:N,$F$11+ROW(A68)-1)*$G$5</f>
        <v>13.82300767579509</v>
      </c>
      <c r="C69" s="6">
        <f t="shared" si="3"/>
        <v>10.367255756846317</v>
      </c>
      <c r="D69" s="6">
        <f>SUBSTITUTE(INDEX(ログ!P:P,$F$11+ROW(A68)-1),":","")*$G$5</f>
        <v>6.9115038378975449</v>
      </c>
      <c r="E69" s="4"/>
      <c r="F69" s="2"/>
      <c r="G69" s="2"/>
      <c r="H69" s="5">
        <f t="shared" si="4"/>
        <v>657.80801837322485</v>
      </c>
      <c r="I69" s="5">
        <f t="shared" si="5"/>
        <v>-188.5291120898008</v>
      </c>
      <c r="J69" s="5">
        <f>ROUNDDOWN(INDEX(ログ!S:S,$F$11+ROW(A68)-1) * $F$8,0)</f>
        <v>-98</v>
      </c>
      <c r="K69" s="5"/>
    </row>
    <row r="70" spans="1:11">
      <c r="A70" t="str">
        <f>INDEX(ログ!A:A,$F$11+ROW(A69)-1)</f>
        <v xml:space="preserve"> 15 :  0  0  1</v>
      </c>
      <c r="B70" s="6">
        <f>INDEX(ログ!N:N,$F$11+ROW(A69)-1)*$G$5</f>
        <v>13.82300767579509</v>
      </c>
      <c r="C70" s="6">
        <f t="shared" si="3"/>
        <v>10.712830948741194</v>
      </c>
      <c r="D70" s="6">
        <f>SUBSTITUTE(INDEX(ログ!P:P,$F$11+ROW(A69)-1),":","")*$G$5</f>
        <v>7.602654221687299</v>
      </c>
      <c r="E70" s="4"/>
      <c r="F70" s="2"/>
      <c r="G70" s="2"/>
      <c r="H70" s="5">
        <f t="shared" si="4"/>
        <v>656.31708047002758</v>
      </c>
      <c r="I70" s="5">
        <f t="shared" si="5"/>
        <v>-199.13768650416569</v>
      </c>
      <c r="J70" s="5">
        <f>ROUNDDOWN(INDEX(ログ!S:S,$F$11+ROW(A69)-1) * $F$8,0)</f>
        <v>-104</v>
      </c>
      <c r="K70" s="5"/>
    </row>
    <row r="71" spans="1:11">
      <c r="A71" t="str">
        <f>INDEX(ログ!A:A,$F$11+ROW(A70)-1)</f>
        <v xml:space="preserve"> 15 :  0  0  1</v>
      </c>
      <c r="B71" s="6">
        <f>INDEX(ログ!N:N,$F$11+ROW(A70)-1)*$G$5</f>
        <v>14.168582867689967</v>
      </c>
      <c r="C71" s="6">
        <f t="shared" si="3"/>
        <v>10.712830948741194</v>
      </c>
      <c r="D71" s="6">
        <f>SUBSTITUTE(INDEX(ログ!P:P,$F$11+ROW(A70)-1),":","")*$G$5</f>
        <v>7.2570790297924219</v>
      </c>
      <c r="E71" s="4"/>
      <c r="F71" s="2"/>
      <c r="G71" s="2"/>
      <c r="H71" s="5">
        <f t="shared" si="4"/>
        <v>653.72541209966937</v>
      </c>
      <c r="I71" s="5">
        <f t="shared" si="5"/>
        <v>-209.5323005900465</v>
      </c>
      <c r="J71" s="5">
        <f>ROUNDDOWN(INDEX(ログ!S:S,$F$11+ROW(A70)-1) * $F$8,0)</f>
        <v>-110</v>
      </c>
      <c r="K71" s="5"/>
    </row>
    <row r="72" spans="1:11">
      <c r="A72" t="str">
        <f>INDEX(ログ!A:A,$F$11+ROW(A71)-1)</f>
        <v xml:space="preserve"> 15 :  0  0  1</v>
      </c>
      <c r="B72" s="6">
        <f>INDEX(ログ!N:N,$F$11+ROW(A71)-1)*$G$5</f>
        <v>13.82300767579509</v>
      </c>
      <c r="C72" s="6">
        <f t="shared" si="3"/>
        <v>10.540043352793756</v>
      </c>
      <c r="D72" s="6">
        <f>SUBSTITUTE(INDEX(ログ!P:P,$F$11+ROW(A71)-1),":","")*$G$5</f>
        <v>7.2570790297924219</v>
      </c>
      <c r="E72" s="4"/>
      <c r="F72" s="2"/>
      <c r="G72" s="2"/>
      <c r="H72" s="5">
        <f t="shared" si="4"/>
        <v>650.12050496148811</v>
      </c>
      <c r="I72" s="5">
        <f t="shared" si="5"/>
        <v>-219.43670155143036</v>
      </c>
      <c r="J72" s="5">
        <f>ROUNDDOWN(INDEX(ログ!S:S,$F$11+ROW(A71)-1) * $F$8,0)</f>
        <v>-118</v>
      </c>
      <c r="K72" s="5"/>
    </row>
    <row r="73" spans="1:11">
      <c r="A73" t="str">
        <f>INDEX(ログ!A:A,$F$11+ROW(A72)-1)</f>
        <v xml:space="preserve"> 15 :  0  0  1</v>
      </c>
      <c r="B73" s="6">
        <f>INDEX(ログ!N:N,$F$11+ROW(A72)-1)*$G$5</f>
        <v>14.168582867689967</v>
      </c>
      <c r="C73" s="6">
        <f t="shared" si="3"/>
        <v>10.540043352793756</v>
      </c>
      <c r="D73" s="6">
        <f>SUBSTITUTE(INDEX(ログ!P:P,$F$11+ROW(A72)-1),":","")*$G$5</f>
        <v>6.9115038378975449</v>
      </c>
      <c r="E73" s="4"/>
      <c r="F73" s="2"/>
      <c r="G73" s="2"/>
      <c r="H73" s="5">
        <f t="shared" si="4"/>
        <v>645.17225433682097</v>
      </c>
      <c r="I73" s="5">
        <f t="shared" si="5"/>
        <v>-228.74300745840833</v>
      </c>
      <c r="J73" s="5">
        <f>ROUNDDOWN(INDEX(ログ!S:S,$F$11+ROW(A72)-1) * $F$8,0)</f>
        <v>-124</v>
      </c>
      <c r="K73" s="5"/>
    </row>
    <row r="74" spans="1:11">
      <c r="A74" t="str">
        <f>INDEX(ログ!A:A,$F$11+ROW(A73)-1)</f>
        <v xml:space="preserve"> 15 :  0  0  1</v>
      </c>
      <c r="B74" s="6">
        <f>INDEX(ログ!N:N,$F$11+ROW(A73)-1)*$G$5</f>
        <v>13.82300767579509</v>
      </c>
      <c r="C74" s="6">
        <f t="shared" si="3"/>
        <v>10.540043352793756</v>
      </c>
      <c r="D74" s="6">
        <f>SUBSTITUTE(INDEX(ログ!P:P,$F$11+ROW(A73)-1),":","")*$G$5</f>
        <v>7.2570790297924219</v>
      </c>
      <c r="E74" s="4"/>
      <c r="F74" s="2"/>
      <c r="G74" s="2"/>
      <c r="H74" s="5">
        <f t="shared" si="4"/>
        <v>639.27833689166471</v>
      </c>
      <c r="I74" s="5">
        <f t="shared" si="5"/>
        <v>-237.48109941423337</v>
      </c>
      <c r="J74" s="5">
        <f>ROUNDDOWN(INDEX(ログ!S:S,$F$11+ROW(A73)-1) * $F$8,0)</f>
        <v>-130</v>
      </c>
      <c r="K74" s="5"/>
    </row>
    <row r="75" spans="1:11">
      <c r="A75" t="str">
        <f>INDEX(ログ!A:A,$F$11+ROW(A74)-1)</f>
        <v xml:space="preserve"> 15 :  0  0  1</v>
      </c>
      <c r="B75" s="6">
        <f>INDEX(ログ!N:N,$F$11+ROW(A74)-1)*$G$5</f>
        <v>13.82300767579509</v>
      </c>
      <c r="C75" s="6">
        <f t="shared" si="3"/>
        <v>10.712830948741194</v>
      </c>
      <c r="D75" s="6">
        <f>SUBSTITUTE(INDEX(ログ!P:P,$F$11+ROW(A74)-1),":","")*$G$5</f>
        <v>7.602654221687299</v>
      </c>
      <c r="E75" s="4"/>
      <c r="F75" s="2"/>
      <c r="G75" s="2"/>
      <c r="H75" s="5">
        <f t="shared" si="4"/>
        <v>632.39226189314741</v>
      </c>
      <c r="I75" s="5">
        <f t="shared" si="5"/>
        <v>-245.68760403258958</v>
      </c>
      <c r="J75" s="5">
        <f>ROUNDDOWN(INDEX(ログ!S:S,$F$11+ROW(A74)-1) * $F$8,0)</f>
        <v>-138</v>
      </c>
      <c r="K75" s="5"/>
    </row>
    <row r="76" spans="1:11">
      <c r="A76" t="str">
        <f>INDEX(ログ!A:A,$F$11+ROW(A75)-1)</f>
        <v xml:space="preserve"> 15 :  0  0  1</v>
      </c>
      <c r="B76" s="6">
        <f>INDEX(ログ!N:N,$F$11+ROW(A75)-1)*$G$5</f>
        <v>14.168582867689967</v>
      </c>
      <c r="C76" s="6">
        <f t="shared" si="3"/>
        <v>10.712830948741194</v>
      </c>
      <c r="D76" s="6">
        <f>SUBSTITUTE(INDEX(ログ!P:P,$F$11+ROW(A75)-1),":","")*$G$5</f>
        <v>7.2570790297924219</v>
      </c>
      <c r="E76" s="4"/>
      <c r="F76" s="2"/>
      <c r="G76" s="2"/>
      <c r="H76" s="5">
        <f t="shared" si="4"/>
        <v>624.4310770073763</v>
      </c>
      <c r="I76" s="5">
        <f t="shared" si="5"/>
        <v>-252.85588710114072</v>
      </c>
      <c r="J76" s="5">
        <f>ROUNDDOWN(INDEX(ログ!S:S,$F$11+ROW(A75)-1) * $F$8,0)</f>
        <v>-144</v>
      </c>
      <c r="K76" s="5"/>
    </row>
    <row r="77" spans="1:11">
      <c r="A77" t="str">
        <f>INDEX(ログ!A:A,$F$11+ROW(A76)-1)</f>
        <v xml:space="preserve"> 15 :  0  0  1</v>
      </c>
      <c r="B77" s="6">
        <f>INDEX(ログ!N:N,$F$11+ROW(A76)-1)*$G$5</f>
        <v>13.82300767579509</v>
      </c>
      <c r="C77" s="6">
        <f t="shared" si="3"/>
        <v>10.540043352793756</v>
      </c>
      <c r="D77" s="6">
        <f>SUBSTITUTE(INDEX(ログ!P:P,$F$11+ROW(A76)-1),":","")*$G$5</f>
        <v>7.2570790297924219</v>
      </c>
      <c r="E77" s="4"/>
      <c r="F77" s="2"/>
      <c r="G77" s="2"/>
      <c r="H77" s="5">
        <f t="shared" si="4"/>
        <v>615.90400281351742</v>
      </c>
      <c r="I77" s="5">
        <f t="shared" si="5"/>
        <v>-259.05116914243621</v>
      </c>
      <c r="J77" s="5">
        <f>ROUNDDOWN(INDEX(ログ!S:S,$F$11+ROW(A76)-1) * $F$8,0)</f>
        <v>-150</v>
      </c>
      <c r="K77" s="5"/>
    </row>
    <row r="78" spans="1:11">
      <c r="A78" t="str">
        <f>INDEX(ログ!A:A,$F$11+ROW(A77)-1)</f>
        <v xml:space="preserve"> 15 :  0  0  1</v>
      </c>
      <c r="B78" s="6">
        <f>INDEX(ログ!N:N,$F$11+ROW(A77)-1)*$G$5</f>
        <v>14.514158059584844</v>
      </c>
      <c r="C78" s="6">
        <f t="shared" si="3"/>
        <v>10.885618544688633</v>
      </c>
      <c r="D78" s="6">
        <f>SUBSTITUTE(INDEX(ログ!P:P,$F$11+ROW(A77)-1),":","")*$G$5</f>
        <v>7.2570790297924219</v>
      </c>
      <c r="E78" s="4"/>
      <c r="F78" s="2"/>
      <c r="G78" s="2"/>
      <c r="H78" s="5">
        <f t="shared" si="4"/>
        <v>606.47678061791009</v>
      </c>
      <c r="I78" s="5">
        <f t="shared" si="5"/>
        <v>-264.49397841478054</v>
      </c>
      <c r="J78" s="5">
        <f>ROUNDDOWN(INDEX(ログ!S:S,$F$11+ROW(A77)-1) * $F$8,0)</f>
        <v>-156</v>
      </c>
      <c r="K78" s="5"/>
    </row>
    <row r="79" spans="1:11">
      <c r="A79" t="str">
        <f>INDEX(ログ!A:A,$F$11+ROW(A78)-1)</f>
        <v xml:space="preserve"> 15 :  0  0  1</v>
      </c>
      <c r="B79" s="6">
        <f>INDEX(ログ!N:N,$F$11+ROW(A78)-1)*$G$5</f>
        <v>13.82300767579509</v>
      </c>
      <c r="C79" s="6">
        <f t="shared" si="3"/>
        <v>10.540043352793756</v>
      </c>
      <c r="D79" s="6">
        <f>SUBSTITUTE(INDEX(ログ!P:P,$F$11+ROW(A78)-1),":","")*$G$5</f>
        <v>7.2570790297924219</v>
      </c>
      <c r="E79" s="4"/>
      <c r="F79" s="2"/>
      <c r="G79" s="2"/>
      <c r="H79" s="5">
        <f t="shared" si="4"/>
        <v>596.84797188960931</v>
      </c>
      <c r="I79" s="5">
        <f t="shared" si="5"/>
        <v>-268.78100026596928</v>
      </c>
      <c r="J79" s="5">
        <f>ROUNDDOWN(INDEX(ログ!S:S,$F$11+ROW(A78)-1) * $F$8,0)</f>
        <v>-164</v>
      </c>
      <c r="K79" s="5"/>
    </row>
    <row r="80" spans="1:11">
      <c r="A80" t="str">
        <f>INDEX(ログ!A:A,$F$11+ROW(A79)-1)</f>
        <v xml:space="preserve">  0 :  0  0  3</v>
      </c>
      <c r="B80" s="6">
        <f>INDEX(ログ!N:N,$F$11+ROW(A79)-1)*$G$5</f>
        <v>13.82300767579509</v>
      </c>
      <c r="C80" s="6">
        <f t="shared" si="3"/>
        <v>10.540043352793756</v>
      </c>
      <c r="D80" s="6">
        <f>SUBSTITUTE(INDEX(ログ!P:P,$F$11+ROW(A79)-1),":","")*$G$5</f>
        <v>7.2570790297924219</v>
      </c>
      <c r="E80" s="4"/>
      <c r="F80" s="2"/>
      <c r="G80" s="2"/>
      <c r="H80" s="5">
        <f t="shared" si="4"/>
        <v>586.71623194103938</v>
      </c>
      <c r="I80" s="5">
        <f t="shared" si="5"/>
        <v>-271.68622994592988</v>
      </c>
      <c r="J80" s="5">
        <f>ROUNDDOWN(INDEX(ログ!S:S,$F$11+ROW(A79)-1) * $F$8,0)</f>
        <v>-170</v>
      </c>
      <c r="K80" s="5"/>
    </row>
    <row r="81" spans="1:11">
      <c r="A81" t="str">
        <f>INDEX(ログ!A:A,$F$11+ROW(A80)-1)</f>
        <v xml:space="preserve">  0 :  0  0  3</v>
      </c>
      <c r="B81" s="6">
        <f>INDEX(ログ!N:N,$F$11+ROW(A80)-1)*$G$5</f>
        <v>12.095131716320703</v>
      </c>
      <c r="C81" s="6">
        <f t="shared" si="3"/>
        <v>10.540043352793756</v>
      </c>
      <c r="D81" s="6">
        <f>SUBSTITUTE(INDEX(ログ!P:P,$F$11+ROW(A80)-1),":","")*$G$5</f>
        <v>8.9849549892668072</v>
      </c>
      <c r="E81" s="4"/>
      <c r="F81" s="2"/>
      <c r="G81" s="2"/>
      <c r="H81" s="5">
        <f t="shared" si="4"/>
        <v>576.33631553012333</v>
      </c>
      <c r="I81" s="5">
        <f t="shared" si="5"/>
        <v>-273.51648926667298</v>
      </c>
      <c r="J81" s="5">
        <f>ROUNDDOWN(INDEX(ログ!S:S,$F$11+ROW(A80)-1) * $F$8,0)</f>
        <v>-176</v>
      </c>
      <c r="K81" s="5"/>
    </row>
    <row r="82" spans="1:11">
      <c r="A82" t="str">
        <f>INDEX(ログ!A:A,$F$11+ROW(A81)-1)</f>
        <v xml:space="preserve">  0 :  0  0  3</v>
      </c>
      <c r="B82" s="6">
        <f>INDEX(ログ!N:N,$F$11+ROW(A81)-1)*$G$5</f>
        <v>11.403981332530948</v>
      </c>
      <c r="C82" s="6">
        <f t="shared" si="3"/>
        <v>10.540043352793756</v>
      </c>
      <c r="D82" s="6">
        <f>SUBSTITUTE(INDEX(ログ!P:P,$F$11+ROW(A81)-1),":","")*$G$5</f>
        <v>9.6761053730565632</v>
      </c>
      <c r="E82" s="4"/>
      <c r="F82" s="2"/>
      <c r="G82" s="2"/>
      <c r="H82" s="5">
        <f t="shared" si="4"/>
        <v>565.82194719319625</v>
      </c>
      <c r="I82" s="5">
        <f t="shared" si="5"/>
        <v>-274.25172552407406</v>
      </c>
      <c r="J82" s="5">
        <f>ROUNDDOWN(INDEX(ログ!S:S,$F$11+ROW(A81)-1) * $F$8,0)</f>
        <v>-180</v>
      </c>
      <c r="K82" s="5"/>
    </row>
    <row r="83" spans="1:11">
      <c r="A83" t="str">
        <f>INDEX(ログ!A:A,$F$11+ROW(A82)-1)</f>
        <v xml:space="preserve">  0 :  0  0  3</v>
      </c>
      <c r="B83" s="6">
        <f>INDEX(ログ!N:N,$F$11+ROW(A82)-1)*$G$5</f>
        <v>10.712830948741194</v>
      </c>
      <c r="C83" s="6">
        <f t="shared" si="3"/>
        <v>10.367255756846317</v>
      </c>
      <c r="D83" s="6">
        <f>SUBSTITUTE(INDEX(ログ!P:P,$F$11+ROW(A82)-1),":","")*$G$5</f>
        <v>10.02168056495144</v>
      </c>
      <c r="E83" s="4"/>
      <c r="F83" s="2"/>
      <c r="G83" s="2"/>
      <c r="H83" s="5">
        <f t="shared" si="4"/>
        <v>555.45469143634989</v>
      </c>
      <c r="I83" s="5">
        <f t="shared" si="5"/>
        <v>-274.25172552407406</v>
      </c>
      <c r="J83" s="5">
        <f>ROUNDDOWN(INDEX(ログ!S:S,$F$11+ROW(A82)-1) * $F$8,0)</f>
        <v>178</v>
      </c>
      <c r="K83" s="5"/>
    </row>
    <row r="84" spans="1:11">
      <c r="A84" t="str">
        <f>INDEX(ログ!A:A,$F$11+ROW(A83)-1)</f>
        <v xml:space="preserve">  0 :  0  0  3</v>
      </c>
      <c r="B84" s="6">
        <f>INDEX(ログ!N:N,$F$11+ROW(A83)-1)*$G$5</f>
        <v>10.712830948741194</v>
      </c>
      <c r="C84" s="6">
        <f t="shared" si="3"/>
        <v>10.540043352793756</v>
      </c>
      <c r="D84" s="6">
        <f>SUBSTITUTE(INDEX(ログ!P:P,$F$11+ROW(A83)-1),":","")*$G$5</f>
        <v>10.367255756846317</v>
      </c>
      <c r="E84" s="4"/>
      <c r="F84" s="2"/>
      <c r="G84" s="2"/>
      <c r="H84" s="5">
        <f t="shared" si="4"/>
        <v>544.92106879318419</v>
      </c>
      <c r="I84" s="5">
        <f t="shared" si="5"/>
        <v>-273.883883315839</v>
      </c>
      <c r="J84" s="5">
        <f>ROUNDDOWN(INDEX(ログ!S:S,$F$11+ROW(A83)-1) * $F$8,0)</f>
        <v>178</v>
      </c>
      <c r="K84" s="5"/>
    </row>
    <row r="85" spans="1:11">
      <c r="A85" t="str">
        <f>INDEX(ログ!A:A,$F$11+ROW(A84)-1)</f>
        <v xml:space="preserve">  3 :  0  0  3</v>
      </c>
      <c r="B85" s="6">
        <f>INDEX(ログ!N:N,$F$11+ROW(A84)-1)*$G$5</f>
        <v>11.058406140636071</v>
      </c>
      <c r="C85" s="6">
        <f t="shared" si="3"/>
        <v>11.058406140636071</v>
      </c>
      <c r="D85" s="6">
        <f>SUBSTITUTE(INDEX(ログ!P:P,$F$11+ROW(A84)-1),":","")*$G$5</f>
        <v>11.058406140636071</v>
      </c>
      <c r="E85" s="4"/>
      <c r="F85" s="2"/>
      <c r="G85" s="2"/>
      <c r="H85" s="5">
        <f t="shared" si="4"/>
        <v>533.86939913478091</v>
      </c>
      <c r="I85" s="5">
        <f t="shared" si="5"/>
        <v>-273.49795050719894</v>
      </c>
      <c r="J85" s="5">
        <f>ROUNDDOWN(INDEX(ログ!S:S,$F$11+ROW(A84)-1) * $F$8,0)</f>
        <v>178</v>
      </c>
      <c r="K85" s="5"/>
    </row>
    <row r="86" spans="1:11">
      <c r="A86" t="str">
        <f>INDEX(ログ!A:A,$F$11+ROW(A85)-1)</f>
        <v xml:space="preserve">  3 :  0  0  3</v>
      </c>
      <c r="B86" s="6">
        <f>INDEX(ログ!N:N,$F$11+ROW(A85)-1)*$G$5</f>
        <v>12.44070690821558</v>
      </c>
      <c r="C86" s="6">
        <f t="shared" si="3"/>
        <v>12.44070690821558</v>
      </c>
      <c r="D86" s="6">
        <f>SUBSTITUTE(INDEX(ログ!P:P,$F$11+ROW(A85)-1),":","")*$G$5</f>
        <v>12.44070690821558</v>
      </c>
      <c r="E86" s="4"/>
      <c r="F86" s="2"/>
      <c r="G86" s="2"/>
      <c r="H86" s="5">
        <f t="shared" si="4"/>
        <v>521.43627076907717</v>
      </c>
      <c r="I86" s="5">
        <f t="shared" si="5"/>
        <v>-273.06377609747886</v>
      </c>
      <c r="J86" s="5">
        <f>ROUNDDOWN(INDEX(ログ!S:S,$F$11+ROW(A85)-1) * $F$8,0)</f>
        <v>178</v>
      </c>
      <c r="K86" s="5"/>
    </row>
    <row r="87" spans="1:11">
      <c r="A87" t="str">
        <f>INDEX(ログ!A:A,$F$11+ROW(A86)-1)</f>
        <v xml:space="preserve">  3 :  0  0  3</v>
      </c>
      <c r="B87" s="6">
        <f>INDEX(ログ!N:N,$F$11+ROW(A86)-1)*$G$5</f>
        <v>15.896458827164352</v>
      </c>
      <c r="C87" s="6">
        <f t="shared" si="3"/>
        <v>16.069246423111792</v>
      </c>
      <c r="D87" s="6">
        <f>SUBSTITUTE(INDEX(ログ!P:P,$F$11+ROW(A86)-1),":","")*$G$5</f>
        <v>16.242034019059229</v>
      </c>
      <c r="E87" s="4"/>
      <c r="F87" s="2"/>
      <c r="G87" s="2"/>
      <c r="H87" s="5">
        <f t="shared" si="4"/>
        <v>505.37681329670983</v>
      </c>
      <c r="I87" s="5">
        <f t="shared" si="5"/>
        <v>-272.50296748492377</v>
      </c>
      <c r="J87" s="5">
        <f>ROUNDDOWN(INDEX(ログ!S:S,$F$11+ROW(A86)-1) * $F$8,0)</f>
        <v>178</v>
      </c>
      <c r="K87" s="5"/>
    </row>
    <row r="88" spans="1:11">
      <c r="A88" t="str">
        <f>INDEX(ログ!A:A,$F$11+ROW(A87)-1)</f>
        <v xml:space="preserve">  3 :  0  0  3</v>
      </c>
      <c r="B88" s="6">
        <f>INDEX(ログ!N:N,$F$11+ROW(A87)-1)*$G$5</f>
        <v>12.095131716320703</v>
      </c>
      <c r="C88" s="6">
        <f t="shared" si="3"/>
        <v>12.095131716320703</v>
      </c>
      <c r="D88" s="6">
        <f>SUBSTITUTE(INDEX(ログ!P:P,$F$11+ROW(A87)-1),":","")*$G$5</f>
        <v>12.095131716320703</v>
      </c>
      <c r="E88" s="4"/>
      <c r="F88" s="2"/>
      <c r="G88" s="2"/>
      <c r="H88" s="5">
        <f t="shared" si="4"/>
        <v>493.2890496078312</v>
      </c>
      <c r="I88" s="5">
        <f t="shared" si="5"/>
        <v>-272.0808534754737</v>
      </c>
      <c r="J88" s="5">
        <f>ROUNDDOWN(INDEX(ログ!S:S,$F$11+ROW(A87)-1) * $F$8,0)</f>
        <v>178</v>
      </c>
      <c r="K88" s="5"/>
    </row>
    <row r="89" spans="1:11">
      <c r="A89" t="str">
        <f>INDEX(ログ!A:A,$F$11+ROW(A88)-1)</f>
        <v xml:space="preserve">  3 :  0  0  3</v>
      </c>
      <c r="B89" s="6">
        <f>INDEX(ログ!N:N,$F$11+ROW(A88)-1)*$G$5</f>
        <v>14.514158059584844</v>
      </c>
      <c r="C89" s="6">
        <f t="shared" si="3"/>
        <v>14.341370463637405</v>
      </c>
      <c r="D89" s="6">
        <f>SUBSTITUTE(INDEX(ログ!P:P,$F$11+ROW(A88)-1),":","")*$G$5</f>
        <v>14.168582867689967</v>
      </c>
      <c r="E89" s="4"/>
      <c r="F89" s="2"/>
      <c r="G89" s="2"/>
      <c r="H89" s="5">
        <f t="shared" si="4"/>
        <v>478.95641551958937</v>
      </c>
      <c r="I89" s="5">
        <f t="shared" si="5"/>
        <v>-271.58034686426862</v>
      </c>
      <c r="J89" s="5">
        <f>ROUNDDOWN(INDEX(ログ!S:S,$F$11+ROW(A88)-1) * $F$8,0)</f>
        <v>178</v>
      </c>
      <c r="K89" s="5"/>
    </row>
    <row r="90" spans="1:11">
      <c r="A90" t="str">
        <f>INDEX(ログ!A:A,$F$11+ROW(A89)-1)</f>
        <v xml:space="preserve">  3 :  0  0  3</v>
      </c>
      <c r="B90" s="6">
        <f>INDEX(ログ!N:N,$F$11+ROW(A89)-1)*$G$5</f>
        <v>14.514158059584844</v>
      </c>
      <c r="C90" s="6">
        <f t="shared" si="3"/>
        <v>14.514158059584844</v>
      </c>
      <c r="D90" s="6">
        <f>SUBSTITUTE(INDEX(ログ!P:P,$F$11+ROW(A89)-1),":","")*$G$5</f>
        <v>14.514158059584844</v>
      </c>
      <c r="E90" s="4"/>
      <c r="F90" s="2"/>
      <c r="G90" s="2"/>
      <c r="H90" s="5">
        <f t="shared" si="4"/>
        <v>464.45109909293501</v>
      </c>
      <c r="I90" s="5">
        <f t="shared" si="5"/>
        <v>-271.07381005292854</v>
      </c>
      <c r="J90" s="5">
        <f>ROUNDDOWN(INDEX(ログ!S:S,$F$11+ROW(A89)-1) * $F$8,0)</f>
        <v>178</v>
      </c>
      <c r="K90" s="5"/>
    </row>
    <row r="91" spans="1:11">
      <c r="A91" t="str">
        <f>INDEX(ログ!A:A,$F$11+ROW(A90)-1)</f>
        <v>-12 :  0  0  3</v>
      </c>
      <c r="B91" s="6">
        <f>INDEX(ログ!N:N,$F$11+ROW(A90)-1)*$G$5</f>
        <v>13.82300767579509</v>
      </c>
      <c r="C91" s="6">
        <f t="shared" si="3"/>
        <v>13.650220079847651</v>
      </c>
      <c r="D91" s="6">
        <f>SUBSTITUTE(INDEX(ログ!P:P,$F$11+ROW(A90)-1),":","")*$G$5</f>
        <v>13.477432483900213</v>
      </c>
      <c r="E91" s="4"/>
      <c r="F91" s="2"/>
      <c r="G91" s="2"/>
      <c r="H91" s="5">
        <f t="shared" si="4"/>
        <v>450.8091943583434</v>
      </c>
      <c r="I91" s="5">
        <f t="shared" si="5"/>
        <v>-270.59742424226346</v>
      </c>
      <c r="J91" s="5">
        <f>ROUNDDOWN(INDEX(ログ!S:S,$F$11+ROW(A90)-1) * $F$8,0)</f>
        <v>178</v>
      </c>
      <c r="K91" s="5"/>
    </row>
    <row r="92" spans="1:11">
      <c r="A92" t="str">
        <f>INDEX(ログ!A:A,$F$11+ROW(A91)-1)</f>
        <v>-12 :  0  0  3</v>
      </c>
      <c r="B92" s="6">
        <f>INDEX(ログ!N:N,$F$11+ROW(A91)-1)*$G$5</f>
        <v>12.786282100110457</v>
      </c>
      <c r="C92" s="6">
        <f t="shared" si="3"/>
        <v>13.131857292005336</v>
      </c>
      <c r="D92" s="6">
        <f>SUBSTITUTE(INDEX(ログ!P:P,$F$11+ROW(A91)-1),":","")*$G$5</f>
        <v>13.477432483900213</v>
      </c>
      <c r="E92" s="4"/>
      <c r="F92" s="2"/>
      <c r="G92" s="2"/>
      <c r="H92" s="5">
        <f t="shared" si="4"/>
        <v>437.68533663898944</v>
      </c>
      <c r="I92" s="5">
        <f t="shared" si="5"/>
        <v>-270.13912903200338</v>
      </c>
      <c r="J92" s="5">
        <f>ROUNDDOWN(INDEX(ログ!S:S,$F$11+ROW(A91)-1) * $F$8,0)</f>
        <v>178</v>
      </c>
      <c r="K92" s="5"/>
    </row>
    <row r="93" spans="1:11">
      <c r="A93" t="str">
        <f>INDEX(ログ!A:A,$F$11+ROW(A92)-1)</f>
        <v>-12 :  0  0  3</v>
      </c>
      <c r="B93" s="6">
        <f>INDEX(ログ!N:N,$F$11+ROW(A92)-1)*$G$5</f>
        <v>11.403981332530948</v>
      </c>
      <c r="C93" s="6">
        <f t="shared" si="3"/>
        <v>12.786282100110459</v>
      </c>
      <c r="D93" s="6">
        <f>SUBSTITUTE(INDEX(ログ!P:P,$F$11+ROW(A92)-1),":","")*$G$5</f>
        <v>14.168582867689967</v>
      </c>
      <c r="E93" s="4"/>
      <c r="F93" s="2"/>
      <c r="G93" s="2"/>
      <c r="H93" s="5">
        <f t="shared" si="4"/>
        <v>424.90684359646059</v>
      </c>
      <c r="I93" s="5">
        <f t="shared" si="5"/>
        <v>-269.69289422201331</v>
      </c>
      <c r="J93" s="5">
        <f>ROUNDDOWN(INDEX(ログ!S:S,$F$11+ROW(A92)-1) * $F$8,0)</f>
        <v>-180</v>
      </c>
      <c r="K93" s="5"/>
    </row>
    <row r="94" spans="1:11">
      <c r="A94" t="str">
        <f>INDEX(ログ!A:A,$F$11+ROW(A93)-1)</f>
        <v>-12 :  0  0  3</v>
      </c>
      <c r="B94" s="6">
        <f>INDEX(ログ!N:N,$F$11+ROW(A93)-1)*$G$5</f>
        <v>10.712830948741194</v>
      </c>
      <c r="C94" s="6">
        <f t="shared" si="3"/>
        <v>12.786282100110459</v>
      </c>
      <c r="D94" s="6">
        <f>SUBSTITUTE(INDEX(ログ!P:P,$F$11+ROW(A93)-1),":","")*$G$5</f>
        <v>14.859733251479721</v>
      </c>
      <c r="E94" s="4"/>
      <c r="F94" s="2"/>
      <c r="G94" s="2"/>
      <c r="H94" s="5">
        <f t="shared" si="4"/>
        <v>412.12056149635015</v>
      </c>
      <c r="I94" s="5">
        <f t="shared" si="5"/>
        <v>-269.69289422201331</v>
      </c>
      <c r="J94" s="5">
        <f>ROUNDDOWN(INDEX(ログ!S:S,$F$11+ROW(A93)-1) * $F$8,0)</f>
        <v>-176</v>
      </c>
      <c r="K94" s="5"/>
    </row>
    <row r="95" spans="1:11">
      <c r="A95" t="str">
        <f>INDEX(ログ!A:A,$F$11+ROW(A94)-1)</f>
        <v>-12 :  0  0  3</v>
      </c>
      <c r="B95" s="6">
        <f>INDEX(ログ!N:N,$F$11+ROW(A94)-1)*$G$5</f>
        <v>7.2570790297924219</v>
      </c>
      <c r="C95" s="6">
        <f t="shared" si="3"/>
        <v>11.403981332530948</v>
      </c>
      <c r="D95" s="6">
        <f>SUBSTITUTE(INDEX(ログ!P:P,$F$11+ROW(A94)-1),":","")*$G$5</f>
        <v>15.550883635269475</v>
      </c>
      <c r="E95" s="4"/>
      <c r="F95" s="2"/>
      <c r="G95" s="2"/>
      <c r="H95" s="5">
        <f t="shared" si="4"/>
        <v>400.74435968918317</v>
      </c>
      <c r="I95" s="5">
        <f t="shared" si="5"/>
        <v>-270.48839574641448</v>
      </c>
      <c r="J95" s="5">
        <f>ROUNDDOWN(INDEX(ログ!S:S,$F$11+ROW(A94)-1) * $F$8,0)</f>
        <v>-172</v>
      </c>
      <c r="K95" s="5"/>
    </row>
    <row r="96" spans="1:11">
      <c r="A96" t="str">
        <f>INDEX(ログ!A:A,$F$11+ROW(A95)-1)</f>
        <v>-12 :  0  0  3</v>
      </c>
      <c r="B96" s="6">
        <f>INDEX(ログ!N:N,$F$11+ROW(A95)-1)*$G$5</f>
        <v>9.3305301811616861</v>
      </c>
      <c r="C96" s="6">
        <f t="shared" si="3"/>
        <v>12.440706908215581</v>
      </c>
      <c r="D96" s="6">
        <f>SUBSTITUTE(INDEX(ログ!P:P,$F$11+ROW(A95)-1),":","")*$G$5</f>
        <v>15.550883635269475</v>
      </c>
      <c r="E96" s="4"/>
      <c r="F96" s="2"/>
      <c r="G96" s="2"/>
      <c r="H96" s="5">
        <f t="shared" si="4"/>
        <v>388.4247248854046</v>
      </c>
      <c r="I96" s="5">
        <f t="shared" si="5"/>
        <v>-272.21980750496613</v>
      </c>
      <c r="J96" s="5">
        <f>ROUNDDOWN(INDEX(ログ!S:S,$F$11+ROW(A95)-1) * $F$8,0)</f>
        <v>-168</v>
      </c>
      <c r="K96" s="5"/>
    </row>
    <row r="97" spans="1:11">
      <c r="A97" t="str">
        <f>INDEX(ログ!A:A,$F$11+ROW(A96)-1)</f>
        <v>-12 :  0  0  3</v>
      </c>
      <c r="B97" s="6">
        <f>INDEX(ログ!N:N,$F$11+ROW(A96)-1)*$G$5</f>
        <v>8.6393797973719302</v>
      </c>
      <c r="C97" s="6">
        <f t="shared" si="3"/>
        <v>11.922344120373264</v>
      </c>
      <c r="D97" s="6">
        <f>SUBSTITUTE(INDEX(ログ!P:P,$F$11+ROW(A96)-1),":","")*$G$5</f>
        <v>15.205308443374598</v>
      </c>
      <c r="E97" s="4"/>
      <c r="F97" s="2"/>
      <c r="G97" s="2"/>
      <c r="H97" s="5">
        <f t="shared" si="4"/>
        <v>376.76291258893872</v>
      </c>
      <c r="I97" s="5">
        <f t="shared" si="5"/>
        <v>-274.69860222954412</v>
      </c>
      <c r="J97" s="5">
        <f>ROUNDDOWN(INDEX(ログ!S:S,$F$11+ROW(A96)-1) * $F$8,0)</f>
        <v>-162</v>
      </c>
      <c r="K97" s="5"/>
    </row>
    <row r="98" spans="1:11">
      <c r="A98" t="str">
        <f>INDEX(ログ!A:A,$F$11+ROW(A97)-1)</f>
        <v>-12 :  0  0  3</v>
      </c>
      <c r="B98" s="6">
        <f>INDEX(ログ!N:N,$F$11+ROW(A97)-1)*$G$5</f>
        <v>8.2938046054770531</v>
      </c>
      <c r="C98" s="6">
        <f t="shared" si="3"/>
        <v>11.922344120373264</v>
      </c>
      <c r="D98" s="6">
        <f>SUBSTITUTE(INDEX(ログ!P:P,$F$11+ROW(A97)-1),":","")*$G$5</f>
        <v>15.550883635269475</v>
      </c>
      <c r="E98" s="4"/>
      <c r="F98" s="2"/>
      <c r="G98" s="2"/>
      <c r="H98" s="5">
        <f t="shared" si="4"/>
        <v>365.4240895237445</v>
      </c>
      <c r="I98" s="5">
        <f t="shared" si="5"/>
        <v>-278.38280917552572</v>
      </c>
      <c r="J98" s="5">
        <f>ROUNDDOWN(INDEX(ログ!S:S,$F$11+ROW(A97)-1) * $F$8,0)</f>
        <v>-156</v>
      </c>
      <c r="K98" s="5"/>
    </row>
    <row r="99" spans="1:11">
      <c r="A99" t="str">
        <f>INDEX(ログ!A:A,$F$11+ROW(A98)-1)</f>
        <v>-12 :  0  0  3</v>
      </c>
      <c r="B99" s="6">
        <f>INDEX(ログ!N:N,$F$11+ROW(A98)-1)*$G$5</f>
        <v>7.9482294135821761</v>
      </c>
      <c r="C99" s="6">
        <f t="shared" si="3"/>
        <v>11.576768928478387</v>
      </c>
      <c r="D99" s="6">
        <f>SUBSTITUTE(INDEX(ログ!P:P,$F$11+ROW(A98)-1),":","")*$G$5</f>
        <v>15.205308443374598</v>
      </c>
      <c r="E99" s="4"/>
      <c r="F99" s="2"/>
      <c r="G99" s="2"/>
      <c r="H99" s="5">
        <f t="shared" si="4"/>
        <v>354.84818485495509</v>
      </c>
      <c r="I99" s="5">
        <f t="shared" si="5"/>
        <v>-283.09150530715925</v>
      </c>
      <c r="J99" s="5">
        <f>ROUNDDOWN(INDEX(ログ!S:S,$F$11+ROW(A98)-1) * $F$8,0)</f>
        <v>-148</v>
      </c>
      <c r="K99" s="5"/>
    </row>
    <row r="100" spans="1:11">
      <c r="A100" t="str">
        <f>INDEX(ログ!A:A,$F$11+ROW(A99)-1)</f>
        <v>-12 :  0  0  3</v>
      </c>
      <c r="B100" s="6">
        <f>INDEX(ログ!N:N,$F$11+ROW(A99)-1)*$G$5</f>
        <v>8.2938046054770531</v>
      </c>
      <c r="C100" s="6">
        <f t="shared" si="3"/>
        <v>11.403981332530948</v>
      </c>
      <c r="D100" s="6">
        <f>SUBSTITUTE(INDEX(ログ!P:P,$F$11+ROW(A99)-1),":","")*$G$5</f>
        <v>14.514158059584844</v>
      </c>
      <c r="E100" s="4"/>
      <c r="F100" s="2"/>
      <c r="G100" s="2"/>
      <c r="H100" s="5">
        <f t="shared" si="4"/>
        <v>345.17706019729883</v>
      </c>
      <c r="I100" s="5">
        <f t="shared" si="5"/>
        <v>-289.13469470422325</v>
      </c>
      <c r="J100" s="5">
        <f>ROUNDDOWN(INDEX(ログ!S:S,$F$11+ROW(A99)-1) * $F$8,0)</f>
        <v>-142</v>
      </c>
      <c r="K100" s="5"/>
    </row>
    <row r="101" spans="1:11">
      <c r="A101" t="str">
        <f>INDEX(ログ!A:A,$F$11+ROW(A100)-1)</f>
        <v>-12 :  0  0  3</v>
      </c>
      <c r="B101" s="6">
        <f>INDEX(ログ!N:N,$F$11+ROW(A100)-1)*$G$5</f>
        <v>7.9482294135821761</v>
      </c>
      <c r="C101" s="6">
        <f t="shared" si="3"/>
        <v>11.23119373658351</v>
      </c>
      <c r="D101" s="6">
        <f>SUBSTITUTE(INDEX(ログ!P:P,$F$11+ROW(A100)-1),":","")*$G$5</f>
        <v>14.514158059584844</v>
      </c>
      <c r="E101" s="4"/>
      <c r="F101" s="2"/>
      <c r="G101" s="2"/>
      <c r="H101" s="5">
        <f t="shared" si="4"/>
        <v>336.32675875703057</v>
      </c>
      <c r="I101" s="5">
        <f t="shared" si="5"/>
        <v>-296.04930800975654</v>
      </c>
      <c r="J101" s="5">
        <f>ROUNDDOWN(INDEX(ログ!S:S,$F$11+ROW(A100)-1) * $F$8,0)</f>
        <v>-136</v>
      </c>
      <c r="K101" s="5"/>
    </row>
    <row r="102" spans="1:11">
      <c r="A102" t="str">
        <f>INDEX(ログ!A:A,$F$11+ROW(A101)-1)</f>
        <v>-12 :  0  0  3</v>
      </c>
      <c r="B102" s="6">
        <f>INDEX(ログ!N:N,$F$11+ROW(A101)-1)*$G$5</f>
        <v>7.602654221687299</v>
      </c>
      <c r="C102" s="6">
        <f t="shared" si="3"/>
        <v>10.712830948741194</v>
      </c>
      <c r="D102" s="6">
        <f>SUBSTITUTE(INDEX(ログ!P:P,$F$11+ROW(A101)-1),":","")*$G$5</f>
        <v>13.82300767579509</v>
      </c>
      <c r="E102" s="4"/>
      <c r="F102" s="2"/>
      <c r="G102" s="2"/>
      <c r="H102" s="5">
        <f t="shared" si="4"/>
        <v>328.62059308130137</v>
      </c>
      <c r="I102" s="5">
        <f t="shared" si="5"/>
        <v>-303.4910656996118</v>
      </c>
      <c r="J102" s="5">
        <f>ROUNDDOWN(INDEX(ログ!S:S,$F$11+ROW(A101)-1) * $F$8,0)</f>
        <v>-130</v>
      </c>
      <c r="K102" s="5"/>
    </row>
    <row r="103" spans="1:11">
      <c r="A103" t="str">
        <f>INDEX(ログ!A:A,$F$11+ROW(A102)-1)</f>
        <v>-12 :  0  0  3</v>
      </c>
      <c r="B103" s="6">
        <f>INDEX(ログ!N:N,$F$11+ROW(A102)-1)*$G$5</f>
        <v>7.602654221687299</v>
      </c>
      <c r="C103" s="6">
        <f t="shared" si="3"/>
        <v>10.885618544688633</v>
      </c>
      <c r="D103" s="6">
        <f>SUBSTITUTE(INDEX(ログ!P:P,$F$11+ROW(A102)-1),":","")*$G$5</f>
        <v>14.168582867689967</v>
      </c>
      <c r="E103" s="4"/>
      <c r="F103" s="2"/>
      <c r="G103" s="2"/>
      <c r="H103" s="5">
        <f t="shared" si="4"/>
        <v>321.6234523570015</v>
      </c>
      <c r="I103" s="5">
        <f t="shared" si="5"/>
        <v>-311.82993329568342</v>
      </c>
      <c r="J103" s="5">
        <f>ROUNDDOWN(INDEX(ログ!S:S,$F$11+ROW(A102)-1) * $F$8,0)</f>
        <v>-124</v>
      </c>
      <c r="K103" s="5"/>
    </row>
    <row r="104" spans="1:11">
      <c r="A104" t="str">
        <f>INDEX(ログ!A:A,$F$11+ROW(A103)-1)</f>
        <v>-12 :  0  0  3</v>
      </c>
      <c r="B104" s="6">
        <f>INDEX(ログ!N:N,$F$11+ROW(A103)-1)*$G$5</f>
        <v>7.9482294135821761</v>
      </c>
      <c r="C104" s="6">
        <f t="shared" si="3"/>
        <v>10.885618544688633</v>
      </c>
      <c r="D104" s="6">
        <f>SUBSTITUTE(INDEX(ログ!P:P,$F$11+ROW(A103)-1),":","")*$G$5</f>
        <v>13.82300767579509</v>
      </c>
      <c r="E104" s="4"/>
      <c r="F104" s="2"/>
      <c r="G104" s="2"/>
      <c r="H104" s="5">
        <f t="shared" si="4"/>
        <v>315.53629171692205</v>
      </c>
      <c r="I104" s="5">
        <f t="shared" si="5"/>
        <v>-320.85452006973225</v>
      </c>
      <c r="J104" s="5">
        <f>ROUNDDOWN(INDEX(ログ!S:S,$F$11+ROW(A103)-1) * $F$8,0)</f>
        <v>-118</v>
      </c>
      <c r="K104" s="5"/>
    </row>
    <row r="105" spans="1:11">
      <c r="A105" t="str">
        <f>INDEX(ログ!A:A,$F$11+ROW(A104)-1)</f>
        <v>-12 :  0  0  3</v>
      </c>
      <c r="B105" s="6">
        <f>INDEX(ログ!N:N,$F$11+ROW(A104)-1)*$G$5</f>
        <v>7.602654221687299</v>
      </c>
      <c r="C105" s="6">
        <f t="shared" si="3"/>
        <v>10.540043352793756</v>
      </c>
      <c r="D105" s="6">
        <f>SUBSTITUTE(INDEX(ログ!P:P,$F$11+ROW(A104)-1),":","")*$G$5</f>
        <v>13.477432483900213</v>
      </c>
      <c r="E105" s="4"/>
      <c r="F105" s="2"/>
      <c r="G105" s="2"/>
      <c r="H105" s="5">
        <f t="shared" si="4"/>
        <v>310.58804109225491</v>
      </c>
      <c r="I105" s="5">
        <f t="shared" si="5"/>
        <v>-330.16082597671021</v>
      </c>
      <c r="J105" s="5">
        <f>ROUNDDOWN(INDEX(ログ!S:S,$F$11+ROW(A104)-1) * $F$8,0)</f>
        <v>-114</v>
      </c>
      <c r="K105" s="5"/>
    </row>
    <row r="106" spans="1:11">
      <c r="A106" t="str">
        <f>INDEX(ログ!A:A,$F$11+ROW(A105)-1)</f>
        <v>-12 :  0  0  3</v>
      </c>
      <c r="B106" s="6">
        <f>INDEX(ログ!N:N,$F$11+ROW(A105)-1)*$G$5</f>
        <v>7.602654221687299</v>
      </c>
      <c r="C106" s="6">
        <f t="shared" si="3"/>
        <v>10.540043352793756</v>
      </c>
      <c r="D106" s="6">
        <f>SUBSTITUTE(INDEX(ログ!P:P,$F$11+ROW(A105)-1),":","")*$G$5</f>
        <v>13.477432483900213</v>
      </c>
      <c r="E106" s="4"/>
      <c r="F106" s="2"/>
      <c r="G106" s="2"/>
      <c r="H106" s="5">
        <f t="shared" si="4"/>
        <v>306.30101924106617</v>
      </c>
      <c r="I106" s="5">
        <f t="shared" si="5"/>
        <v>-339.78963470501105</v>
      </c>
      <c r="J106" s="5">
        <f>ROUNDDOWN(INDEX(ログ!S:S,$F$11+ROW(A105)-1) * $F$8,0)</f>
        <v>-108</v>
      </c>
      <c r="K106" s="5"/>
    </row>
    <row r="107" spans="1:11">
      <c r="A107" t="str">
        <f>INDEX(ログ!A:A,$F$11+ROW(A106)-1)</f>
        <v>-12 :  0  0  3</v>
      </c>
      <c r="B107" s="6">
        <f>INDEX(ログ!N:N,$F$11+ROW(A106)-1)*$G$5</f>
        <v>7.602654221687299</v>
      </c>
      <c r="C107" s="6">
        <f t="shared" si="3"/>
        <v>10.540043352793756</v>
      </c>
      <c r="D107" s="6">
        <f>SUBSTITUTE(INDEX(ログ!P:P,$F$11+ROW(A106)-1),":","")*$G$5</f>
        <v>13.477432483900213</v>
      </c>
      <c r="E107" s="4"/>
      <c r="F107" s="2"/>
      <c r="G107" s="2"/>
      <c r="H107" s="5">
        <f t="shared" si="4"/>
        <v>303.04396672360423</v>
      </c>
      <c r="I107" s="5">
        <f t="shared" si="5"/>
        <v>-349.81381161771895</v>
      </c>
      <c r="J107" s="5">
        <f>ROUNDDOWN(INDEX(ログ!S:S,$F$11+ROW(A106)-1) * $F$8,0)</f>
        <v>-102</v>
      </c>
      <c r="K107" s="5"/>
    </row>
    <row r="108" spans="1:11">
      <c r="A108" t="str">
        <f>INDEX(ログ!A:A,$F$11+ROW(A107)-1)</f>
        <v xml:space="preserve">  0 :  0  0  2</v>
      </c>
      <c r="B108" s="6">
        <f>INDEX(ログ!N:N,$F$11+ROW(A107)-1)*$G$5</f>
        <v>7.602654221687299</v>
      </c>
      <c r="C108" s="6">
        <f t="shared" si="3"/>
        <v>10.194468160898879</v>
      </c>
      <c r="D108" s="6">
        <f>SUBSTITUTE(INDEX(ログ!P:P,$F$11+ROW(A107)-1),":","")*$G$5</f>
        <v>12.786282100110457</v>
      </c>
      <c r="E108" s="4"/>
      <c r="F108" s="2"/>
      <c r="G108" s="2"/>
      <c r="H108" s="5">
        <f t="shared" si="4"/>
        <v>300.92441761128396</v>
      </c>
      <c r="I108" s="5">
        <f t="shared" si="5"/>
        <v>-359.78550619005938</v>
      </c>
      <c r="J108" s="5">
        <f>ROUNDDOWN(INDEX(ログ!S:S,$F$11+ROW(A107)-1) * $F$8,0)</f>
        <v>-96</v>
      </c>
      <c r="K108" s="5"/>
    </row>
    <row r="109" spans="1:11">
      <c r="A109" t="str">
        <f>INDEX(ログ!A:A,$F$11+ROW(A108)-1)</f>
        <v xml:space="preserve">  0 :  0  0  2</v>
      </c>
      <c r="B109" s="6">
        <f>INDEX(ログ!N:N,$F$11+ROW(A108)-1)*$G$5</f>
        <v>12.44070690821558</v>
      </c>
      <c r="C109" s="6">
        <f t="shared" si="3"/>
        <v>11.576768928478387</v>
      </c>
      <c r="D109" s="6">
        <f>SUBSTITUTE(INDEX(ログ!P:P,$F$11+ROW(A108)-1),":","")*$G$5</f>
        <v>10.712830948741194</v>
      </c>
      <c r="E109" s="4"/>
      <c r="F109" s="2"/>
      <c r="G109" s="2"/>
      <c r="H109" s="5">
        <f t="shared" si="4"/>
        <v>299.7143157455854</v>
      </c>
      <c r="I109" s="5">
        <f t="shared" si="5"/>
        <v>-371.29885636705023</v>
      </c>
      <c r="J109" s="5">
        <f>ROUNDDOWN(INDEX(ログ!S:S,$F$11+ROW(A108)-1) * $F$8,0)</f>
        <v>-92</v>
      </c>
      <c r="K109" s="5"/>
    </row>
    <row r="110" spans="1:11">
      <c r="A110" t="str">
        <f>INDEX(ログ!A:A,$F$11+ROW(A109)-1)</f>
        <v xml:space="preserve">  0 :  0  0  2</v>
      </c>
      <c r="B110" s="6">
        <f>INDEX(ログ!N:N,$F$11+ROW(A109)-1)*$G$5</f>
        <v>12.786282100110457</v>
      </c>
      <c r="C110" s="6">
        <f t="shared" si="3"/>
        <v>11.403981332530948</v>
      </c>
      <c r="D110" s="6">
        <f>SUBSTITUTE(INDEX(ログ!P:P,$F$11+ROW(A109)-1),":","")*$G$5</f>
        <v>10.02168056495144</v>
      </c>
      <c r="E110" s="4"/>
      <c r="F110" s="2"/>
      <c r="G110" s="2"/>
      <c r="H110" s="5">
        <f t="shared" si="4"/>
        <v>299.31632253667533</v>
      </c>
      <c r="I110" s="5">
        <f t="shared" si="5"/>
        <v>-382.69589070227869</v>
      </c>
      <c r="J110" s="5">
        <f>ROUNDDOWN(INDEX(ログ!S:S,$F$11+ROW(A109)-1) * $F$8,0)</f>
        <v>-88</v>
      </c>
      <c r="K110" s="5"/>
    </row>
    <row r="111" spans="1:11">
      <c r="A111" t="str">
        <f>INDEX(ログ!A:A,$F$11+ROW(A110)-1)</f>
        <v xml:space="preserve">  0 :  0  0  2</v>
      </c>
      <c r="B111" s="6">
        <f>INDEX(ログ!N:N,$F$11+ROW(A110)-1)*$G$5</f>
        <v>9.6761053730565632</v>
      </c>
      <c r="C111" s="6">
        <f t="shared" si="3"/>
        <v>9.6761053730565632</v>
      </c>
      <c r="D111" s="6">
        <f>SUBSTITUTE(INDEX(ログ!P:P,$F$11+ROW(A110)-1),":","")*$G$5</f>
        <v>9.6761053730565632</v>
      </c>
      <c r="E111" s="4"/>
      <c r="F111" s="2"/>
      <c r="G111" s="2"/>
      <c r="H111" s="5">
        <f t="shared" si="4"/>
        <v>299.65401374423539</v>
      </c>
      <c r="I111" s="5">
        <f t="shared" si="5"/>
        <v>-392.36610165338158</v>
      </c>
      <c r="J111" s="5">
        <f>ROUNDDOWN(INDEX(ログ!S:S,$F$11+ROW(A110)-1) * $F$8,0)</f>
        <v>-88</v>
      </c>
      <c r="K111" s="5"/>
    </row>
    <row r="112" spans="1:11">
      <c r="A112" t="str">
        <f>INDEX(ログ!A:A,$F$11+ROW(A111)-1)</f>
        <v xml:space="preserve">  3 :  0  0  2</v>
      </c>
      <c r="B112" s="6">
        <f>INDEX(ログ!N:N,$F$11+ROW(A111)-1)*$G$5</f>
        <v>10.367255756846317</v>
      </c>
      <c r="C112" s="6">
        <f t="shared" si="3"/>
        <v>10.367255756846317</v>
      </c>
      <c r="D112" s="6">
        <f>SUBSTITUTE(INDEX(ログ!P:P,$F$11+ROW(A111)-1),":","")*$G$5</f>
        <v>10.367255756846317</v>
      </c>
      <c r="E112" s="4"/>
      <c r="F112" s="2"/>
      <c r="G112" s="2"/>
      <c r="H112" s="5">
        <f t="shared" si="4"/>
        <v>300.01582575233545</v>
      </c>
      <c r="I112" s="5">
        <f t="shared" si="5"/>
        <v>-402.72704195813469</v>
      </c>
      <c r="J112" s="5">
        <f>ROUNDDOWN(INDEX(ログ!S:S,$F$11+ROW(A111)-1) * $F$8,0)</f>
        <v>-88</v>
      </c>
      <c r="K112" s="5"/>
    </row>
    <row r="113" spans="1:11">
      <c r="A113" t="str">
        <f>INDEX(ログ!A:A,$F$11+ROW(A112)-1)</f>
        <v xml:space="preserve">  3 :  0  0  2</v>
      </c>
      <c r="B113" s="6">
        <f>INDEX(ログ!N:N,$F$11+ROW(A112)-1)*$G$5</f>
        <v>12.44070690821558</v>
      </c>
      <c r="C113" s="6">
        <f t="shared" si="3"/>
        <v>13.477432483900213</v>
      </c>
      <c r="D113" s="6">
        <f>SUBSTITUTE(INDEX(ログ!P:P,$F$11+ROW(A112)-1),":","")*$G$5</f>
        <v>14.514158059584844</v>
      </c>
      <c r="E113" s="4"/>
      <c r="F113" s="2"/>
      <c r="G113" s="2"/>
      <c r="H113" s="5">
        <f t="shared" si="4"/>
        <v>300.48618136286552</v>
      </c>
      <c r="I113" s="5">
        <f t="shared" si="5"/>
        <v>-416.19626435431377</v>
      </c>
      <c r="J113" s="5">
        <f>ROUNDDOWN(INDEX(ログ!S:S,$F$11+ROW(A112)-1) * $F$8,0)</f>
        <v>-90</v>
      </c>
      <c r="K113" s="5"/>
    </row>
    <row r="114" spans="1:11">
      <c r="A114" t="str">
        <f>INDEX(ログ!A:A,$F$11+ROW(A113)-1)</f>
        <v xml:space="preserve">  3 :  0  0  2</v>
      </c>
      <c r="B114" s="6">
        <f>INDEX(ログ!N:N,$F$11+ROW(A113)-1)*$G$5</f>
        <v>15.205308443374598</v>
      </c>
      <c r="C114" s="6">
        <f t="shared" si="3"/>
        <v>15.723671231216914</v>
      </c>
      <c r="D114" s="6">
        <f>SUBSTITUTE(INDEX(ログ!P:P,$F$11+ROW(A113)-1),":","")*$G$5</f>
        <v>16.242034019059229</v>
      </c>
      <c r="E114" s="4"/>
      <c r="F114" s="2"/>
      <c r="G114" s="2"/>
      <c r="H114" s="5">
        <f t="shared" si="4"/>
        <v>300.48618136286552</v>
      </c>
      <c r="I114" s="5">
        <f t="shared" si="5"/>
        <v>-431.91993558553071</v>
      </c>
      <c r="J114" s="5">
        <f>ROUNDDOWN(INDEX(ログ!S:S,$F$11+ROW(A113)-1) * $F$8,0)</f>
        <v>-90</v>
      </c>
      <c r="K114" s="5"/>
    </row>
    <row r="115" spans="1:11">
      <c r="A115" t="str">
        <f>INDEX(ログ!A:A,$F$11+ROW(A114)-1)</f>
        <v xml:space="preserve">  3 :  0  0  2</v>
      </c>
      <c r="B115" s="6">
        <f>INDEX(ログ!N:N,$F$11+ROW(A114)-1)*$G$5</f>
        <v>13.82300767579509</v>
      </c>
      <c r="C115" s="6">
        <f t="shared" si="3"/>
        <v>13.131857292005336</v>
      </c>
      <c r="D115" s="6">
        <f>SUBSTITUTE(INDEX(ログ!P:P,$F$11+ROW(A114)-1),":","")*$G$5</f>
        <v>12.44070690821558</v>
      </c>
      <c r="E115" s="4"/>
      <c r="F115" s="2"/>
      <c r="G115" s="2"/>
      <c r="H115" s="5">
        <f t="shared" si="4"/>
        <v>300.48618136286552</v>
      </c>
      <c r="I115" s="5">
        <f t="shared" si="5"/>
        <v>-445.05179287753606</v>
      </c>
      <c r="J115" s="5">
        <f>ROUNDDOWN(INDEX(ログ!S:S,$F$11+ROW(A114)-1) * $F$8,0)</f>
        <v>-90</v>
      </c>
      <c r="K115" s="5"/>
    </row>
    <row r="116" spans="1:11">
      <c r="A116" t="str">
        <f>INDEX(ログ!A:A,$F$11+ROW(A115)-1)</f>
        <v xml:space="preserve">  3 :  0  0  2</v>
      </c>
      <c r="B116" s="6">
        <f>INDEX(ログ!N:N,$F$11+ROW(A115)-1)*$G$5</f>
        <v>15.205308443374598</v>
      </c>
      <c r="C116" s="6">
        <f t="shared" si="3"/>
        <v>14.168582867689967</v>
      </c>
      <c r="D116" s="6">
        <f>SUBSTITUTE(INDEX(ログ!P:P,$F$11+ROW(A115)-1),":","")*$G$5</f>
        <v>13.131857292005336</v>
      </c>
      <c r="E116" s="4"/>
      <c r="F116" s="2"/>
      <c r="G116" s="2"/>
      <c r="H116" s="5">
        <f t="shared" si="4"/>
        <v>300.48618136286552</v>
      </c>
      <c r="I116" s="5">
        <f t="shared" si="5"/>
        <v>-459.22037574522602</v>
      </c>
      <c r="J116" s="5">
        <f>ROUNDDOWN(INDEX(ログ!S:S,$F$11+ROW(A115)-1) * $F$8,0)</f>
        <v>-90</v>
      </c>
      <c r="K116" s="5"/>
    </row>
    <row r="117" spans="1:11">
      <c r="A117" t="str">
        <f>INDEX(ログ!A:A,$F$11+ROW(A116)-1)</f>
        <v xml:space="preserve">  3 :  0  0  2</v>
      </c>
      <c r="B117" s="6">
        <f>INDEX(ログ!N:N,$F$11+ROW(A116)-1)*$G$5</f>
        <v>14.514158059584844</v>
      </c>
      <c r="C117" s="6">
        <f t="shared" si="3"/>
        <v>14.168582867689967</v>
      </c>
      <c r="D117" s="6">
        <f>SUBSTITUTE(INDEX(ログ!P:P,$F$11+ROW(A116)-1),":","")*$G$5</f>
        <v>13.82300767579509</v>
      </c>
      <c r="E117" s="4"/>
      <c r="F117" s="2"/>
      <c r="G117" s="2"/>
      <c r="H117" s="5">
        <f t="shared" si="4"/>
        <v>300.48618136286552</v>
      </c>
      <c r="I117" s="5">
        <f t="shared" si="5"/>
        <v>-473.38895861291599</v>
      </c>
      <c r="J117" s="5">
        <f>ROUNDDOWN(INDEX(ログ!S:S,$F$11+ROW(A116)-1) * $F$8,0)</f>
        <v>-90</v>
      </c>
      <c r="K117" s="5"/>
    </row>
    <row r="118" spans="1:11">
      <c r="A118" t="str">
        <f>INDEX(ログ!A:A,$F$11+ROW(A117)-1)</f>
        <v>-12 :  0  0  2</v>
      </c>
      <c r="B118" s="6">
        <f>INDEX(ログ!N:N,$F$11+ROW(A117)-1)*$G$5</f>
        <v>13.82300767579509</v>
      </c>
      <c r="C118" s="6">
        <f t="shared" si="3"/>
        <v>13.304644887952772</v>
      </c>
      <c r="D118" s="6">
        <f>SUBSTITUTE(INDEX(ログ!P:P,$F$11+ROW(A117)-1),":","")*$G$5</f>
        <v>12.786282100110457</v>
      </c>
      <c r="E118" s="4"/>
      <c r="F118" s="2"/>
      <c r="G118" s="2"/>
      <c r="H118" s="5">
        <f t="shared" si="4"/>
        <v>300.48618136286552</v>
      </c>
      <c r="I118" s="5">
        <f t="shared" si="5"/>
        <v>-486.69360350086873</v>
      </c>
      <c r="J118" s="5">
        <f>ROUNDDOWN(INDEX(ログ!S:S,$F$11+ROW(A117)-1) * $F$8,0)</f>
        <v>-90</v>
      </c>
      <c r="K118" s="5"/>
    </row>
    <row r="119" spans="1:11">
      <c r="A119" t="str">
        <f>INDEX(ログ!A:A,$F$11+ROW(A118)-1)</f>
        <v>-12 :  0  0  2</v>
      </c>
      <c r="B119" s="6">
        <f>INDEX(ログ!N:N,$F$11+ROW(A118)-1)*$G$5</f>
        <v>12.786282100110457</v>
      </c>
      <c r="C119" s="6">
        <f t="shared" si="3"/>
        <v>12.095131716320703</v>
      </c>
      <c r="D119" s="6">
        <f>SUBSTITUTE(INDEX(ログ!P:P,$F$11+ROW(A118)-1),":","")*$G$5</f>
        <v>11.403981332530948</v>
      </c>
      <c r="E119" s="4"/>
      <c r="F119" s="2"/>
      <c r="G119" s="2"/>
      <c r="H119" s="5">
        <f t="shared" si="4"/>
        <v>300.48618136286552</v>
      </c>
      <c r="I119" s="5">
        <f t="shared" si="5"/>
        <v>-498.78873521718941</v>
      </c>
      <c r="J119" s="5">
        <f>ROUNDDOWN(INDEX(ログ!S:S,$F$11+ROW(A118)-1) * $F$8,0)</f>
        <v>-90</v>
      </c>
      <c r="K119" s="5"/>
    </row>
    <row r="120" spans="1:11">
      <c r="A120" t="str">
        <f>INDEX(ログ!A:A,$F$11+ROW(A119)-1)</f>
        <v>-12 :  0  0  2</v>
      </c>
      <c r="B120" s="6">
        <f>INDEX(ログ!N:N,$F$11+ROW(A119)-1)*$G$5</f>
        <v>11.058406140636071</v>
      </c>
      <c r="C120" s="6">
        <f t="shared" si="3"/>
        <v>12.613494504163018</v>
      </c>
      <c r="D120" s="6">
        <f>SUBSTITUTE(INDEX(ログ!P:P,$F$11+ROW(A119)-1),":","")*$G$5</f>
        <v>14.168582867689967</v>
      </c>
      <c r="E120" s="4"/>
      <c r="F120" s="2"/>
      <c r="G120" s="2"/>
      <c r="H120" s="5">
        <f t="shared" si="4"/>
        <v>300.48618136286552</v>
      </c>
      <c r="I120" s="5">
        <f t="shared" si="5"/>
        <v>-511.40222972135246</v>
      </c>
      <c r="J120" s="5">
        <f>ROUNDDOWN(INDEX(ログ!S:S,$F$11+ROW(A119)-1) * $F$8,0)</f>
        <v>-90</v>
      </c>
      <c r="K120" s="5"/>
    </row>
    <row r="121" spans="1:11">
      <c r="A121" t="str">
        <f>INDEX(ログ!A:A,$F$11+ROW(A120)-1)</f>
        <v>-12 :  0  0  2</v>
      </c>
      <c r="B121" s="6">
        <f>INDEX(ログ!N:N,$F$11+ROW(A120)-1)*$G$5</f>
        <v>11.403981332530948</v>
      </c>
      <c r="C121" s="6">
        <f t="shared" si="3"/>
        <v>12.959069696057895</v>
      </c>
      <c r="D121" s="6">
        <f>SUBSTITUTE(INDEX(ログ!P:P,$F$11+ROW(A120)-1),":","")*$G$5</f>
        <v>14.514158059584844</v>
      </c>
      <c r="E121" s="4"/>
      <c r="F121" s="2"/>
      <c r="G121" s="2"/>
      <c r="H121" s="5">
        <f t="shared" si="4"/>
        <v>300.48618136286552</v>
      </c>
      <c r="I121" s="5">
        <f t="shared" si="5"/>
        <v>-524.36129941741035</v>
      </c>
      <c r="J121" s="5">
        <f>ROUNDDOWN(INDEX(ログ!S:S,$F$11+ROW(A120)-1) * $F$8,0)</f>
        <v>-88</v>
      </c>
      <c r="K121" s="5"/>
    </row>
    <row r="122" spans="1:11">
      <c r="A122" t="str">
        <f>INDEX(ログ!A:A,$F$11+ROW(A121)-1)</f>
        <v>-12 :  0  0  2</v>
      </c>
      <c r="B122" s="6">
        <f>INDEX(ログ!N:N,$F$11+ROW(A121)-1)*$G$5</f>
        <v>8.6393797973719302</v>
      </c>
      <c r="C122" s="6">
        <f t="shared" si="3"/>
        <v>11.749556524425826</v>
      </c>
      <c r="D122" s="6">
        <f>SUBSTITUTE(INDEX(ログ!P:P,$F$11+ROW(A121)-1),":","")*$G$5</f>
        <v>14.859733251479721</v>
      </c>
      <c r="E122" s="4"/>
      <c r="F122" s="2"/>
      <c r="G122" s="2"/>
      <c r="H122" s="5">
        <f t="shared" si="4"/>
        <v>300.89623497204559</v>
      </c>
      <c r="I122" s="5">
        <f t="shared" si="5"/>
        <v>-536.10369842946386</v>
      </c>
      <c r="J122" s="5">
        <f>ROUNDDOWN(INDEX(ログ!S:S,$F$11+ROW(A121)-1) * $F$8,0)</f>
        <v>-80</v>
      </c>
      <c r="K122" s="5"/>
    </row>
    <row r="123" spans="1:11">
      <c r="A123" t="str">
        <f>INDEX(ログ!A:A,$F$11+ROW(A122)-1)</f>
        <v>-12 :  0  0  2</v>
      </c>
      <c r="B123" s="6">
        <f>INDEX(ログ!N:N,$F$11+ROW(A122)-1)*$G$5</f>
        <v>7.9482294135821761</v>
      </c>
      <c r="C123" s="6">
        <f t="shared" si="3"/>
        <v>11.922344120373264</v>
      </c>
      <c r="D123" s="6">
        <f>SUBSTITUTE(INDEX(ログ!P:P,$F$11+ROW(A122)-1),":","")*$G$5</f>
        <v>15.896458827164352</v>
      </c>
      <c r="E123" s="4"/>
      <c r="F123" s="2"/>
      <c r="G123" s="2"/>
      <c r="H123" s="5">
        <f t="shared" si="4"/>
        <v>302.96652830206642</v>
      </c>
      <c r="I123" s="5">
        <f t="shared" si="5"/>
        <v>-547.84491535328698</v>
      </c>
      <c r="J123" s="5">
        <f>ROUNDDOWN(INDEX(ログ!S:S,$F$11+ROW(A122)-1) * $F$8,0)</f>
        <v>-74</v>
      </c>
      <c r="K123" s="5"/>
    </row>
    <row r="124" spans="1:11">
      <c r="A124" t="str">
        <f>INDEX(ログ!A:A,$F$11+ROW(A123)-1)</f>
        <v>-12 :  0  0  2</v>
      </c>
      <c r="B124" s="6">
        <f>INDEX(ログ!N:N,$F$11+ROW(A123)-1)*$G$5</f>
        <v>7.602654221687299</v>
      </c>
      <c r="C124" s="6">
        <f t="shared" si="3"/>
        <v>11.576768928478387</v>
      </c>
      <c r="D124" s="6">
        <f>SUBSTITUTE(INDEX(ログ!P:P,$F$11+ROW(A123)-1),":","")*$G$5</f>
        <v>15.550883635269475</v>
      </c>
      <c r="E124" s="4"/>
      <c r="F124" s="2"/>
      <c r="G124" s="2"/>
      <c r="H124" s="5">
        <f t="shared" si="4"/>
        <v>306.1575182784166</v>
      </c>
      <c r="I124" s="5">
        <f t="shared" si="5"/>
        <v>-558.97321988696217</v>
      </c>
      <c r="J124" s="5">
        <f>ROUNDDOWN(INDEX(ログ!S:S,$F$11+ROW(A123)-1) * $F$8,0)</f>
        <v>-68</v>
      </c>
      <c r="K124" s="5"/>
    </row>
    <row r="125" spans="1:11">
      <c r="A125" t="str">
        <f>INDEX(ログ!A:A,$F$11+ROW(A124)-1)</f>
        <v>-12 :  0  0  2</v>
      </c>
      <c r="B125" s="6">
        <f>INDEX(ログ!N:N,$F$11+ROW(A124)-1)*$G$5</f>
        <v>8.2938046054770531</v>
      </c>
      <c r="C125" s="6">
        <f t="shared" si="3"/>
        <v>11.749556524425826</v>
      </c>
      <c r="D125" s="6">
        <f>SUBSTITUTE(INDEX(ログ!P:P,$F$11+ROW(A124)-1),":","")*$G$5</f>
        <v>15.205308443374598</v>
      </c>
      <c r="E125" s="4"/>
      <c r="F125" s="2"/>
      <c r="G125" s="2"/>
      <c r="H125" s="5">
        <f t="shared" si="4"/>
        <v>310.55897962217944</v>
      </c>
      <c r="I125" s="5">
        <f t="shared" si="5"/>
        <v>-569.86721899472968</v>
      </c>
      <c r="J125" s="5">
        <f>ROUNDDOWN(INDEX(ログ!S:S,$F$11+ROW(A124)-1) * $F$8,0)</f>
        <v>-62</v>
      </c>
      <c r="K125" s="5"/>
    </row>
    <row r="126" spans="1:11">
      <c r="A126" t="str">
        <f>INDEX(ログ!A:A,$F$11+ROW(A125)-1)</f>
        <v>-12 :  0  0  2</v>
      </c>
      <c r="B126" s="6">
        <f>INDEX(ログ!N:N,$F$11+ROW(A125)-1)*$G$5</f>
        <v>7.9482294135821761</v>
      </c>
      <c r="C126" s="6">
        <f t="shared" si="3"/>
        <v>11.23119373658351</v>
      </c>
      <c r="D126" s="6">
        <f>SUBSTITUTE(INDEX(ログ!P:P,$F$11+ROW(A125)-1),":","")*$G$5</f>
        <v>14.514158059584844</v>
      </c>
      <c r="E126" s="4"/>
      <c r="F126" s="2"/>
      <c r="G126" s="2"/>
      <c r="H126" s="5">
        <f t="shared" si="4"/>
        <v>315.8317056976444</v>
      </c>
      <c r="I126" s="5">
        <f t="shared" si="5"/>
        <v>-579.78377446937839</v>
      </c>
      <c r="J126" s="5">
        <f>ROUNDDOWN(INDEX(ログ!S:S,$F$11+ROW(A125)-1) * $F$8,0)</f>
        <v>-54</v>
      </c>
      <c r="K126" s="5"/>
    </row>
    <row r="127" spans="1:11">
      <c r="A127" t="str">
        <f>INDEX(ログ!A:A,$F$11+ROW(A126)-1)</f>
        <v>-12 :  0  0  2</v>
      </c>
      <c r="B127" s="6">
        <f>INDEX(ログ!N:N,$F$11+ROW(A126)-1)*$G$5</f>
        <v>7.2570790297924219</v>
      </c>
      <c r="C127" s="6">
        <f t="shared" si="3"/>
        <v>10.712830948741194</v>
      </c>
      <c r="D127" s="6">
        <f>SUBSTITUTE(INDEX(ログ!P:P,$F$11+ROW(A126)-1),":","")*$G$5</f>
        <v>14.168582867689967</v>
      </c>
      <c r="E127" s="4"/>
      <c r="F127" s="2"/>
      <c r="G127" s="2"/>
      <c r="H127" s="5">
        <f t="shared" si="4"/>
        <v>322.12854973961686</v>
      </c>
      <c r="I127" s="5">
        <f t="shared" si="5"/>
        <v>-588.45063676477594</v>
      </c>
      <c r="J127" s="5">
        <f>ROUNDDOWN(INDEX(ログ!S:S,$F$11+ROW(A126)-1) * $F$8,0)</f>
        <v>-48</v>
      </c>
      <c r="K127" s="5"/>
    </row>
    <row r="128" spans="1:11">
      <c r="A128" t="str">
        <f>INDEX(ログ!A:A,$F$11+ROW(A127)-1)</f>
        <v>-12 :  0  0  2</v>
      </c>
      <c r="B128" s="6">
        <f>INDEX(ログ!N:N,$F$11+ROW(A127)-1)*$G$5</f>
        <v>7.602654221687299</v>
      </c>
      <c r="C128" s="6">
        <f t="shared" si="3"/>
        <v>10.885618544688633</v>
      </c>
      <c r="D128" s="6">
        <f>SUBSTITUTE(INDEX(ログ!P:P,$F$11+ROW(A127)-1),":","")*$G$5</f>
        <v>14.168582867689967</v>
      </c>
      <c r="E128" s="4"/>
      <c r="F128" s="2"/>
      <c r="G128" s="2"/>
      <c r="H128" s="5">
        <f t="shared" si="4"/>
        <v>329.41245027701558</v>
      </c>
      <c r="I128" s="5">
        <f t="shared" si="5"/>
        <v>-596.54022785838208</v>
      </c>
      <c r="J128" s="5">
        <f>ROUNDDOWN(INDEX(ログ!S:S,$F$11+ROW(A127)-1) * $F$8,0)</f>
        <v>-42</v>
      </c>
      <c r="K128" s="5"/>
    </row>
    <row r="129" spans="1:11">
      <c r="A129" t="str">
        <f>INDEX(ログ!A:A,$F$11+ROW(A128)-1)</f>
        <v>-12 :  0  0  2</v>
      </c>
      <c r="B129" s="6">
        <f>INDEX(ログ!N:N,$F$11+ROW(A128)-1)*$G$5</f>
        <v>7.602654221687299</v>
      </c>
      <c r="C129" s="6">
        <f t="shared" si="3"/>
        <v>10.712830948741194</v>
      </c>
      <c r="D129" s="6">
        <f>SUBSTITUTE(INDEX(ログ!P:P,$F$11+ROW(A128)-1),":","")*$G$5</f>
        <v>13.82300767579509</v>
      </c>
      <c r="E129" s="4"/>
      <c r="F129" s="2"/>
      <c r="G129" s="2"/>
      <c r="H129" s="5">
        <f t="shared" si="4"/>
        <v>337.37363516278668</v>
      </c>
      <c r="I129" s="5">
        <f t="shared" si="5"/>
        <v>-603.70851092693317</v>
      </c>
      <c r="J129" s="5">
        <f>ROUNDDOWN(INDEX(ログ!S:S,$F$11+ROW(A128)-1) * $F$8,0)</f>
        <v>-36</v>
      </c>
      <c r="K129" s="5"/>
    </row>
    <row r="130" spans="1:11">
      <c r="A130" t="str">
        <f>INDEX(ログ!A:A,$F$11+ROW(A129)-1)</f>
        <v>-12 :  0  0  2</v>
      </c>
      <c r="B130" s="6">
        <f>INDEX(ログ!N:N,$F$11+ROW(A129)-1)*$G$5</f>
        <v>7.602654221687299</v>
      </c>
      <c r="C130" s="6">
        <f t="shared" si="3"/>
        <v>10.540043352793756</v>
      </c>
      <c r="D130" s="6">
        <f>SUBSTITUTE(INDEX(ログ!P:P,$F$11+ROW(A129)-1),":","")*$G$5</f>
        <v>13.477432483900213</v>
      </c>
      <c r="E130" s="4"/>
      <c r="F130" s="2"/>
      <c r="G130" s="2"/>
      <c r="H130" s="5">
        <f t="shared" si="4"/>
        <v>345.90070935664551</v>
      </c>
      <c r="I130" s="5">
        <f t="shared" si="5"/>
        <v>-609.90379296822869</v>
      </c>
      <c r="J130" s="5">
        <f>ROUNDDOWN(INDEX(ログ!S:S,$F$11+ROW(A129)-1) * $F$8,0)</f>
        <v>-32</v>
      </c>
      <c r="K130" s="5"/>
    </row>
    <row r="131" spans="1:11">
      <c r="A131" t="str">
        <f>INDEX(ログ!A:A,$F$11+ROW(A130)-1)</f>
        <v>-12 :  0  0  2</v>
      </c>
      <c r="B131" s="6">
        <f>INDEX(ログ!N:N,$F$11+ROW(A130)-1)*$G$5</f>
        <v>7.602654221687299</v>
      </c>
      <c r="C131" s="6">
        <f t="shared" ref="C131:C194" si="6">(B131+D131)/2</f>
        <v>10.540043352793756</v>
      </c>
      <c r="D131" s="6">
        <f>SUBSTITUTE(INDEX(ログ!P:P,$F$11+ROW(A130)-1),":","")*$G$5</f>
        <v>13.477432483900213</v>
      </c>
      <c r="E131" s="4"/>
      <c r="F131" s="2"/>
      <c r="G131" s="2"/>
      <c r="H131" s="5">
        <f t="shared" si="4"/>
        <v>354.83917305538847</v>
      </c>
      <c r="I131" s="5">
        <f t="shared" si="5"/>
        <v>-615.48916498672725</v>
      </c>
      <c r="J131" s="5">
        <f>ROUNDDOWN(INDEX(ログ!S:S,$F$11+ROW(A130)-1) * $F$8,0)</f>
        <v>-26</v>
      </c>
      <c r="K131" s="5"/>
    </row>
    <row r="132" spans="1:11">
      <c r="A132" t="str">
        <f>INDEX(ログ!A:A,$F$11+ROW(A131)-1)</f>
        <v>-12 :  0  0  2</v>
      </c>
      <c r="B132" s="6">
        <f>INDEX(ログ!N:N,$F$11+ROW(A131)-1)*$G$5</f>
        <v>7.602654221687299</v>
      </c>
      <c r="C132" s="6">
        <f t="shared" si="6"/>
        <v>10.540043352793756</v>
      </c>
      <c r="D132" s="6">
        <f>SUBSTITUTE(INDEX(ログ!P:P,$F$11+ROW(A131)-1),":","")*$G$5</f>
        <v>13.477432483900213</v>
      </c>
      <c r="E132" s="4"/>
      <c r="F132" s="2"/>
      <c r="G132" s="2"/>
      <c r="H132" s="5">
        <f t="shared" ref="H132:H195" si="7">H131+(C132*COS(RADIANS(J131)))</f>
        <v>364.3125012686146</v>
      </c>
      <c r="I132" s="5">
        <f t="shared" ref="I132:I195" si="8">I131+(C132*SIN(RADIANS(J131)))</f>
        <v>-620.10961587849806</v>
      </c>
      <c r="J132" s="5">
        <f>ROUNDDOWN(INDEX(ログ!S:S,$F$11+ROW(A131)-1) * $F$8,0)</f>
        <v>-20</v>
      </c>
      <c r="K132" s="5"/>
    </row>
    <row r="133" spans="1:11">
      <c r="A133" t="str">
        <f>INDEX(ログ!A:A,$F$11+ROW(A132)-1)</f>
        <v>-12 :  0  0  2</v>
      </c>
      <c r="B133" s="6">
        <f>INDEX(ログ!N:N,$F$11+ROW(A132)-1)*$G$5</f>
        <v>7.602654221687299</v>
      </c>
      <c r="C133" s="6">
        <f t="shared" si="6"/>
        <v>10.540043352793756</v>
      </c>
      <c r="D133" s="6">
        <f>SUBSTITUTE(INDEX(ログ!P:P,$F$11+ROW(A132)-1),":","")*$G$5</f>
        <v>13.477432483900213</v>
      </c>
      <c r="E133" s="4"/>
      <c r="F133" s="2"/>
      <c r="G133" s="2"/>
      <c r="H133" s="5">
        <f t="shared" si="7"/>
        <v>374.21690222999848</v>
      </c>
      <c r="I133" s="5">
        <f t="shared" si="8"/>
        <v>-623.71452301667932</v>
      </c>
      <c r="J133" s="5">
        <f>ROUNDDOWN(INDEX(ログ!S:S,$F$11+ROW(A132)-1) * $F$8,0)</f>
        <v>-14</v>
      </c>
      <c r="K133" s="5"/>
    </row>
    <row r="134" spans="1:11">
      <c r="A134" t="str">
        <f>INDEX(ログ!A:A,$F$11+ROW(A133)-1)</f>
        <v xml:space="preserve">  0 :  0  0  1</v>
      </c>
      <c r="B134" s="6">
        <f>INDEX(ログ!N:N,$F$11+ROW(A133)-1)*$G$5</f>
        <v>5.8747782622129128</v>
      </c>
      <c r="C134" s="6">
        <f t="shared" si="6"/>
        <v>9.8488929690040017</v>
      </c>
      <c r="D134" s="6">
        <f>SUBSTITUTE(INDEX(ログ!P:P,$F$11+ROW(A133)-1),":","")*$G$5</f>
        <v>13.82300767579509</v>
      </c>
      <c r="E134" s="4"/>
      <c r="F134" s="2"/>
      <c r="G134" s="2"/>
      <c r="H134" s="5">
        <f t="shared" si="7"/>
        <v>383.7732409863728</v>
      </c>
      <c r="I134" s="5">
        <f t="shared" si="8"/>
        <v>-626.09718587329905</v>
      </c>
      <c r="J134" s="5">
        <f>ROUNDDOWN(INDEX(ログ!S:S,$F$11+ROW(A133)-1) * $F$8,0)</f>
        <v>-10</v>
      </c>
      <c r="K134" s="5"/>
    </row>
    <row r="135" spans="1:11">
      <c r="A135" t="str">
        <f>INDEX(ログ!A:A,$F$11+ROW(A134)-1)</f>
        <v xml:space="preserve">  0 :  0  0  1</v>
      </c>
      <c r="B135" s="6">
        <f>INDEX(ログ!N:N,$F$11+ROW(A134)-1)*$G$5</f>
        <v>6.2203534541077898</v>
      </c>
      <c r="C135" s="6">
        <f t="shared" si="6"/>
        <v>10.02168056495144</v>
      </c>
      <c r="D135" s="6">
        <f>SUBSTITUTE(INDEX(ログ!P:P,$F$11+ROW(A134)-1),":","")*$G$5</f>
        <v>13.82300767579509</v>
      </c>
      <c r="E135" s="4"/>
      <c r="F135" s="2"/>
      <c r="G135" s="2"/>
      <c r="H135" s="5">
        <f t="shared" si="7"/>
        <v>393.64266970494873</v>
      </c>
      <c r="I135" s="5">
        <f t="shared" si="8"/>
        <v>-627.83743244056302</v>
      </c>
      <c r="J135" s="5">
        <f>ROUNDDOWN(INDEX(ログ!S:S,$F$11+ROW(A134)-1) * $F$8,0)</f>
        <v>-2</v>
      </c>
      <c r="K135" s="5"/>
    </row>
    <row r="136" spans="1:11">
      <c r="A136" t="str">
        <f>INDEX(ログ!A:A,$F$11+ROW(A135)-1)</f>
        <v xml:space="preserve">  0 :  0  0  1</v>
      </c>
      <c r="B136" s="6">
        <f>INDEX(ログ!N:N,$F$11+ROW(A135)-1)*$G$5</f>
        <v>12.44070690821558</v>
      </c>
      <c r="C136" s="6">
        <f t="shared" si="6"/>
        <v>12.267919312268141</v>
      </c>
      <c r="D136" s="6">
        <f>SUBSTITUTE(INDEX(ログ!P:P,$F$11+ROW(A135)-1),":","")*$G$5</f>
        <v>12.095131716320703</v>
      </c>
      <c r="E136" s="4"/>
      <c r="F136" s="2"/>
      <c r="G136" s="2"/>
      <c r="H136" s="5">
        <f t="shared" si="7"/>
        <v>405.90311573223994</v>
      </c>
      <c r="I136" s="5">
        <f t="shared" si="8"/>
        <v>-628.26557665014809</v>
      </c>
      <c r="J136" s="5">
        <f>ROUNDDOWN(INDEX(ログ!S:S,$F$11+ROW(A135)-1) * $F$8,0)</f>
        <v>2</v>
      </c>
      <c r="K136" s="5"/>
    </row>
    <row r="137" spans="1:11">
      <c r="A137" t="str">
        <f>INDEX(ログ!A:A,$F$11+ROW(A136)-1)</f>
        <v xml:space="preserve">  0 :  0  0  1</v>
      </c>
      <c r="B137" s="6">
        <f>INDEX(ログ!N:N,$F$11+ROW(A136)-1)*$G$5</f>
        <v>11.403981332530948</v>
      </c>
      <c r="C137" s="6">
        <f t="shared" si="6"/>
        <v>10.885618544688633</v>
      </c>
      <c r="D137" s="6">
        <f>SUBSTITUTE(INDEX(ログ!P:P,$F$11+ROW(A136)-1),":","")*$G$5</f>
        <v>10.367255756846317</v>
      </c>
      <c r="E137" s="4"/>
      <c r="F137" s="2"/>
      <c r="G137" s="2"/>
      <c r="H137" s="5">
        <f t="shared" si="7"/>
        <v>416.7821030522307</v>
      </c>
      <c r="I137" s="5">
        <f t="shared" si="8"/>
        <v>-627.88567404164303</v>
      </c>
      <c r="J137" s="5">
        <f>ROUNDDOWN(INDEX(ログ!S:S,$F$11+ROW(A136)-1) * $F$8,0)</f>
        <v>4</v>
      </c>
      <c r="K137" s="5"/>
    </row>
    <row r="138" spans="1:11">
      <c r="A138" t="str">
        <f>INDEX(ログ!A:A,$F$11+ROW(A137)-1)</f>
        <v xml:space="preserve">  0 :  0  0  1</v>
      </c>
      <c r="B138" s="6">
        <f>INDEX(ログ!N:N,$F$11+ROW(A137)-1)*$G$5</f>
        <v>9.6761053730565632</v>
      </c>
      <c r="C138" s="6">
        <f t="shared" si="6"/>
        <v>10.02168056495144</v>
      </c>
      <c r="D138" s="6">
        <f>SUBSTITUTE(INDEX(ログ!P:P,$F$11+ROW(A137)-1),":","")*$G$5</f>
        <v>10.367255756846317</v>
      </c>
      <c r="E138" s="4"/>
      <c r="F138" s="2"/>
      <c r="G138" s="2"/>
      <c r="H138" s="5">
        <f t="shared" si="7"/>
        <v>426.77937130701383</v>
      </c>
      <c r="I138" s="5">
        <f t="shared" si="8"/>
        <v>-627.18659694444193</v>
      </c>
      <c r="J138" s="5">
        <f>ROUNDDOWN(INDEX(ログ!S:S,$F$11+ROW(A137)-1) * $F$8,0)</f>
        <v>4</v>
      </c>
      <c r="K138" s="5"/>
    </row>
    <row r="139" spans="1:11">
      <c r="A139" t="str">
        <f>INDEX(ログ!A:A,$F$11+ROW(A138)-1)</f>
        <v xml:space="preserve">  3 :  0  0  1</v>
      </c>
      <c r="B139" s="6">
        <f>INDEX(ログ!N:N,$F$11+ROW(A138)-1)*$G$5</f>
        <v>10.367255756846317</v>
      </c>
      <c r="C139" s="6">
        <f t="shared" si="6"/>
        <v>10.367255756846317</v>
      </c>
      <c r="D139" s="6">
        <f>SUBSTITUTE(INDEX(ログ!P:P,$F$11+ROW(A138)-1),":","")*$G$5</f>
        <v>10.367255756846317</v>
      </c>
      <c r="E139" s="4"/>
      <c r="F139" s="2"/>
      <c r="G139" s="2"/>
      <c r="H139" s="5">
        <f t="shared" si="7"/>
        <v>437.12137294989293</v>
      </c>
      <c r="I139" s="5">
        <f t="shared" si="8"/>
        <v>-626.46341374044084</v>
      </c>
      <c r="J139" s="5">
        <f>ROUNDDOWN(INDEX(ログ!S:S,$F$11+ROW(A138)-1) * $F$8,0)</f>
        <v>4</v>
      </c>
      <c r="K139" s="5"/>
    </row>
    <row r="140" spans="1:11">
      <c r="A140" t="str">
        <f>INDEX(ログ!A:A,$F$11+ROW(A139)-1)</f>
        <v xml:space="preserve">  3 :  0  0  1</v>
      </c>
      <c r="B140" s="6">
        <f>INDEX(ログ!N:N,$F$11+ROW(A139)-1)*$G$5</f>
        <v>13.131857292005336</v>
      </c>
      <c r="C140" s="6">
        <f t="shared" si="6"/>
        <v>12.613494504163018</v>
      </c>
      <c r="D140" s="6">
        <f>SUBSTITUTE(INDEX(ログ!P:P,$F$11+ROW(A139)-1),":","")*$G$5</f>
        <v>12.095131716320703</v>
      </c>
      <c r="E140" s="4"/>
      <c r="F140" s="2"/>
      <c r="G140" s="2"/>
      <c r="H140" s="5">
        <f t="shared" si="7"/>
        <v>449.70414161539583</v>
      </c>
      <c r="I140" s="5">
        <f t="shared" si="8"/>
        <v>-625.58354084223947</v>
      </c>
      <c r="J140" s="5">
        <f>ROUNDDOWN(INDEX(ログ!S:S,$F$11+ROW(A139)-1) * $F$8,0)</f>
        <v>4</v>
      </c>
      <c r="K140" s="5"/>
    </row>
    <row r="141" spans="1:11">
      <c r="A141" t="str">
        <f>INDEX(ログ!A:A,$F$11+ROW(A140)-1)</f>
        <v xml:space="preserve">  3 :  0  0  1</v>
      </c>
      <c r="B141" s="6">
        <f>INDEX(ログ!N:N,$F$11+ROW(A140)-1)*$G$5</f>
        <v>17.27875959474386</v>
      </c>
      <c r="C141" s="6">
        <f t="shared" si="6"/>
        <v>15.550883635269475</v>
      </c>
      <c r="D141" s="6">
        <f>SUBSTITUTE(INDEX(ログ!P:P,$F$11+ROW(A140)-1),":","")*$G$5</f>
        <v>13.82300767579509</v>
      </c>
      <c r="E141" s="4"/>
      <c r="F141" s="2"/>
      <c r="G141" s="2"/>
      <c r="H141" s="5">
        <f t="shared" si="7"/>
        <v>465.21714407971444</v>
      </c>
      <c r="I141" s="5">
        <f t="shared" si="8"/>
        <v>-624.49876603623784</v>
      </c>
      <c r="J141" s="5">
        <f>ROUNDDOWN(INDEX(ログ!S:S,$F$11+ROW(A140)-1) * $F$8,0)</f>
        <v>4</v>
      </c>
      <c r="K141" s="5"/>
    </row>
    <row r="142" spans="1:11">
      <c r="A142" t="str">
        <f>INDEX(ログ!A:A,$F$11+ROW(A141)-1)</f>
        <v xml:space="preserve">  3 :  0  0  1</v>
      </c>
      <c r="B142" s="6">
        <f>INDEX(ログ!N:N,$F$11+ROW(A141)-1)*$G$5</f>
        <v>15.550883635269475</v>
      </c>
      <c r="C142" s="6">
        <f t="shared" si="6"/>
        <v>12.613494504163018</v>
      </c>
      <c r="D142" s="6">
        <f>SUBSTITUTE(INDEX(ログ!P:P,$F$11+ROW(A141)-1),":","")*$G$5</f>
        <v>9.6761053730565632</v>
      </c>
      <c r="E142" s="4"/>
      <c r="F142" s="2"/>
      <c r="G142" s="2"/>
      <c r="H142" s="5">
        <f t="shared" si="7"/>
        <v>477.79991274521734</v>
      </c>
      <c r="I142" s="5">
        <f t="shared" si="8"/>
        <v>-623.61889313803647</v>
      </c>
      <c r="J142" s="5">
        <f>ROUNDDOWN(INDEX(ログ!S:S,$F$11+ROW(A141)-1) * $F$8,0)</f>
        <v>6</v>
      </c>
      <c r="K142" s="5"/>
    </row>
    <row r="143" spans="1:11">
      <c r="A143" t="str">
        <f>INDEX(ログ!A:A,$F$11+ROW(A142)-1)</f>
        <v xml:space="preserve">  3 :  0  0  1</v>
      </c>
      <c r="B143" s="6">
        <f>INDEX(ログ!N:N,$F$11+ROW(A142)-1)*$G$5</f>
        <v>15.550883635269475</v>
      </c>
      <c r="C143" s="6">
        <f t="shared" si="6"/>
        <v>14.168582867689967</v>
      </c>
      <c r="D143" s="6">
        <f>SUBSTITUTE(INDEX(ログ!P:P,$F$11+ROW(A142)-1),":","")*$G$5</f>
        <v>12.786282100110457</v>
      </c>
      <c r="E143" s="4"/>
      <c r="F143" s="2"/>
      <c r="G143" s="2"/>
      <c r="H143" s="5">
        <f t="shared" si="7"/>
        <v>491.89087863347481</v>
      </c>
      <c r="I143" s="5">
        <f t="shared" si="8"/>
        <v>-622.13787294419649</v>
      </c>
      <c r="J143" s="5">
        <f>ROUNDDOWN(INDEX(ログ!S:S,$F$11+ROW(A142)-1) * $F$8,0)</f>
        <v>6</v>
      </c>
      <c r="K143" s="5"/>
    </row>
    <row r="144" spans="1:11">
      <c r="A144" t="str">
        <f>INDEX(ログ!A:A,$F$11+ROW(A143)-1)</f>
        <v xml:space="preserve">  3 :  0  0  1</v>
      </c>
      <c r="B144" s="6">
        <f>INDEX(ログ!N:N,$F$11+ROW(A143)-1)*$G$5</f>
        <v>14.859733251479721</v>
      </c>
      <c r="C144" s="6">
        <f t="shared" si="6"/>
        <v>14.341370463637405</v>
      </c>
      <c r="D144" s="6">
        <f>SUBSTITUTE(INDEX(ログ!P:P,$F$11+ROW(A143)-1),":","")*$G$5</f>
        <v>13.82300767579509</v>
      </c>
      <c r="E144" s="4"/>
      <c r="F144" s="2"/>
      <c r="G144" s="2"/>
      <c r="H144" s="5">
        <f t="shared" si="7"/>
        <v>506.15368556915007</v>
      </c>
      <c r="I144" s="5">
        <f t="shared" si="8"/>
        <v>-620.6387915284804</v>
      </c>
      <c r="J144" s="5">
        <f>ROUNDDOWN(INDEX(ログ!S:S,$F$11+ROW(A143)-1) * $F$8,0)</f>
        <v>4</v>
      </c>
      <c r="K144" s="5"/>
    </row>
    <row r="145" spans="1:11">
      <c r="A145" t="str">
        <f>INDEX(ログ!A:A,$F$11+ROW(A144)-1)</f>
        <v xml:space="preserve">  3 :  0  0  1</v>
      </c>
      <c r="B145" s="6">
        <f>INDEX(ログ!N:N,$F$11+ROW(A144)-1)*$G$5</f>
        <v>14.168582867689967</v>
      </c>
      <c r="C145" s="6">
        <f t="shared" si="6"/>
        <v>14.859733251479721</v>
      </c>
      <c r="D145" s="6">
        <f>SUBSTITUTE(INDEX(ログ!P:P,$F$11+ROW(A144)-1),":","")*$G$5</f>
        <v>15.550883635269475</v>
      </c>
      <c r="E145" s="4"/>
      <c r="F145" s="2"/>
      <c r="G145" s="2"/>
      <c r="H145" s="5">
        <f t="shared" si="7"/>
        <v>520.97722125727682</v>
      </c>
      <c r="I145" s="5">
        <f t="shared" si="8"/>
        <v>-619.60222893607886</v>
      </c>
      <c r="J145" s="5">
        <f>ROUNDDOWN(INDEX(ログ!S:S,$F$11+ROW(A144)-1) * $F$8,0)</f>
        <v>2</v>
      </c>
      <c r="K145" s="5"/>
    </row>
    <row r="146" spans="1:11">
      <c r="A146" t="str">
        <f>INDEX(ログ!A:A,$F$11+ROW(A145)-1)</f>
        <v xml:space="preserve">  3 :  0  0  1</v>
      </c>
      <c r="B146" s="6">
        <f>INDEX(ログ!N:N,$F$11+ROW(A145)-1)*$G$5</f>
        <v>13.82300767579509</v>
      </c>
      <c r="C146" s="6">
        <f t="shared" si="6"/>
        <v>14.859733251479721</v>
      </c>
      <c r="D146" s="6">
        <f>SUBSTITUTE(INDEX(ログ!P:P,$F$11+ROW(A145)-1),":","")*$G$5</f>
        <v>15.896458827164352</v>
      </c>
      <c r="E146" s="4"/>
      <c r="F146" s="2"/>
      <c r="G146" s="2"/>
      <c r="H146" s="5">
        <f t="shared" si="7"/>
        <v>535.8279023607563</v>
      </c>
      <c r="I146" s="5">
        <f t="shared" si="8"/>
        <v>-619.08363172446877</v>
      </c>
      <c r="J146" s="5">
        <f>ROUNDDOWN(INDEX(ログ!S:S,$F$11+ROW(A145)-1) * $F$8,0)</f>
        <v>2</v>
      </c>
      <c r="K146" s="5"/>
    </row>
    <row r="147" spans="1:11">
      <c r="A147" t="str">
        <f>INDEX(ログ!A:A,$F$11+ROW(A146)-1)</f>
        <v xml:space="preserve">  3 :  0  0  1</v>
      </c>
      <c r="B147" s="6">
        <f>INDEX(ログ!N:N,$F$11+ROW(A146)-1)*$G$5</f>
        <v>13.477432483900213</v>
      </c>
      <c r="C147" s="6">
        <f t="shared" si="6"/>
        <v>14.341370463637405</v>
      </c>
      <c r="D147" s="6">
        <f>SUBSTITUTE(INDEX(ログ!P:P,$F$11+ROW(A146)-1),":","")*$G$5</f>
        <v>15.205308443374598</v>
      </c>
      <c r="E147" s="4"/>
      <c r="F147" s="2"/>
      <c r="G147" s="2"/>
      <c r="H147" s="5">
        <f t="shared" si="7"/>
        <v>550.16053644899807</v>
      </c>
      <c r="I147" s="5">
        <f t="shared" si="8"/>
        <v>-618.58312511326369</v>
      </c>
      <c r="J147" s="5">
        <f>ROUNDDOWN(INDEX(ログ!S:S,$F$11+ROW(A146)-1) * $F$8,0)</f>
        <v>2</v>
      </c>
      <c r="K147" s="5"/>
    </row>
    <row r="148" spans="1:11">
      <c r="A148" t="str">
        <f>INDEX(ログ!A:A,$F$11+ROW(A147)-1)</f>
        <v xml:space="preserve">  3 :  0  0  1</v>
      </c>
      <c r="B148" s="6">
        <f>INDEX(ログ!N:N,$F$11+ROW(A147)-1)*$G$5</f>
        <v>14.859733251479721</v>
      </c>
      <c r="C148" s="6">
        <f t="shared" si="6"/>
        <v>14.859733251479721</v>
      </c>
      <c r="D148" s="6">
        <f>SUBSTITUTE(INDEX(ログ!P:P,$F$11+ROW(A147)-1),":","")*$G$5</f>
        <v>14.859733251479721</v>
      </c>
      <c r="E148" s="4"/>
      <c r="F148" s="2"/>
      <c r="G148" s="2"/>
      <c r="H148" s="5">
        <f t="shared" si="7"/>
        <v>565.01121755247755</v>
      </c>
      <c r="I148" s="5">
        <f t="shared" si="8"/>
        <v>-618.06452790165361</v>
      </c>
      <c r="J148" s="5">
        <f>ROUNDDOWN(INDEX(ログ!S:S,$F$11+ROW(A147)-1) * $F$8,0)</f>
        <v>2</v>
      </c>
      <c r="K148" s="5"/>
    </row>
    <row r="149" spans="1:11">
      <c r="A149" t="str">
        <f>INDEX(ログ!A:A,$F$11+ROW(A148)-1)</f>
        <v xml:space="preserve">  3 :  0  0  1</v>
      </c>
      <c r="B149" s="6">
        <f>INDEX(ログ!N:N,$F$11+ROW(A148)-1)*$G$5</f>
        <v>15.550883635269475</v>
      </c>
      <c r="C149" s="6">
        <f t="shared" si="6"/>
        <v>15.032520847427159</v>
      </c>
      <c r="D149" s="6">
        <f>SUBSTITUTE(INDEX(ログ!P:P,$F$11+ROW(A148)-1),":","")*$G$5</f>
        <v>14.514158059584844</v>
      </c>
      <c r="E149" s="4"/>
      <c r="F149" s="2"/>
      <c r="G149" s="2"/>
      <c r="H149" s="5">
        <f t="shared" si="7"/>
        <v>580.03458099436955</v>
      </c>
      <c r="I149" s="5">
        <f t="shared" si="8"/>
        <v>-617.53990048990852</v>
      </c>
      <c r="J149" s="5">
        <f>ROUNDDOWN(INDEX(ログ!S:S,$F$11+ROW(A148)-1) * $F$8,0)</f>
        <v>2</v>
      </c>
      <c r="K149" s="5"/>
    </row>
    <row r="150" spans="1:11">
      <c r="A150" t="str">
        <f>INDEX(ログ!A:A,$F$11+ROW(A149)-1)</f>
        <v xml:space="preserve">  3 :  0  0  1</v>
      </c>
      <c r="B150" s="6">
        <f>INDEX(ログ!N:N,$F$11+ROW(A149)-1)*$G$5</f>
        <v>14.859733251479721</v>
      </c>
      <c r="C150" s="6">
        <f t="shared" si="6"/>
        <v>14.859733251479721</v>
      </c>
      <c r="D150" s="6">
        <f>SUBSTITUTE(INDEX(ログ!P:P,$F$11+ROW(A149)-1),":","")*$G$5</f>
        <v>14.859733251479721</v>
      </c>
      <c r="E150" s="4"/>
      <c r="F150" s="2"/>
      <c r="G150" s="2"/>
      <c r="H150" s="5">
        <f t="shared" si="7"/>
        <v>594.88526209784902</v>
      </c>
      <c r="I150" s="5">
        <f t="shared" si="8"/>
        <v>-617.02130327829843</v>
      </c>
      <c r="J150" s="5">
        <f>ROUNDDOWN(INDEX(ログ!S:S,$F$11+ROW(A149)-1) * $F$8,0)</f>
        <v>0</v>
      </c>
      <c r="K150" s="5"/>
    </row>
    <row r="151" spans="1:11">
      <c r="A151" t="str">
        <f>INDEX(ログ!A:A,$F$11+ROW(A150)-1)</f>
        <v xml:space="preserve">  3 :  0  0  1</v>
      </c>
      <c r="B151" s="6">
        <f>INDEX(ログ!N:N,$F$11+ROW(A150)-1)*$G$5</f>
        <v>14.859733251479721</v>
      </c>
      <c r="C151" s="6">
        <f t="shared" si="6"/>
        <v>14.686945655532282</v>
      </c>
      <c r="D151" s="6">
        <f>SUBSTITUTE(INDEX(ログ!P:P,$F$11+ROW(A150)-1),":","")*$G$5</f>
        <v>14.514158059584844</v>
      </c>
      <c r="E151" s="4"/>
      <c r="F151" s="2"/>
      <c r="G151" s="2"/>
      <c r="H151" s="5">
        <f t="shared" si="7"/>
        <v>609.57220775338135</v>
      </c>
      <c r="I151" s="5">
        <f t="shared" si="8"/>
        <v>-617.02130327829843</v>
      </c>
      <c r="J151" s="5">
        <f>ROUNDDOWN(INDEX(ログ!S:S,$F$11+ROW(A150)-1) * $F$8,0)</f>
        <v>0</v>
      </c>
      <c r="K151" s="5"/>
    </row>
    <row r="152" spans="1:11">
      <c r="A152" t="str">
        <f>INDEX(ログ!A:A,$F$11+ROW(A151)-1)</f>
        <v xml:space="preserve">  3 :  0  0  1</v>
      </c>
      <c r="B152" s="6">
        <f>INDEX(ログ!N:N,$F$11+ROW(A151)-1)*$G$5</f>
        <v>15.205308443374598</v>
      </c>
      <c r="C152" s="6">
        <f t="shared" si="6"/>
        <v>14.859733251479721</v>
      </c>
      <c r="D152" s="6">
        <f>SUBSTITUTE(INDEX(ログ!P:P,$F$11+ROW(A151)-1),":","")*$G$5</f>
        <v>14.514158059584844</v>
      </c>
      <c r="E152" s="4"/>
      <c r="F152" s="2"/>
      <c r="G152" s="2"/>
      <c r="H152" s="5">
        <f t="shared" si="7"/>
        <v>624.43194100486107</v>
      </c>
      <c r="I152" s="5">
        <f t="shared" si="8"/>
        <v>-617.02130327829843</v>
      </c>
      <c r="J152" s="5">
        <f>ROUNDDOWN(INDEX(ログ!S:S,$F$11+ROW(A151)-1) * $F$8,0)</f>
        <v>0</v>
      </c>
      <c r="K152" s="5"/>
    </row>
    <row r="153" spans="1:11">
      <c r="A153" t="str">
        <f>INDEX(ログ!A:A,$F$11+ROW(A152)-1)</f>
        <v xml:space="preserve">  3 :  0  0  1</v>
      </c>
      <c r="B153" s="6">
        <f>INDEX(ログ!N:N,$F$11+ROW(A152)-1)*$G$5</f>
        <v>15.205308443374598</v>
      </c>
      <c r="C153" s="6">
        <f t="shared" si="6"/>
        <v>15.032520847427159</v>
      </c>
      <c r="D153" s="6">
        <f>SUBSTITUTE(INDEX(ログ!P:P,$F$11+ROW(A152)-1),":","")*$G$5</f>
        <v>14.859733251479721</v>
      </c>
      <c r="E153" s="4"/>
      <c r="F153" s="2"/>
      <c r="G153" s="2"/>
      <c r="H153" s="5">
        <f t="shared" si="7"/>
        <v>639.4644618522882</v>
      </c>
      <c r="I153" s="5">
        <f t="shared" si="8"/>
        <v>-617.02130327829843</v>
      </c>
      <c r="J153" s="5">
        <f>ROUNDDOWN(INDEX(ログ!S:S,$F$11+ROW(A152)-1) * $F$8,0)</f>
        <v>0</v>
      </c>
      <c r="K153" s="5"/>
    </row>
    <row r="154" spans="1:11">
      <c r="A154" t="str">
        <f>INDEX(ログ!A:A,$F$11+ROW(A153)-1)</f>
        <v xml:space="preserve">  3 :  0  0  1</v>
      </c>
      <c r="B154" s="6">
        <f>INDEX(ログ!N:N,$F$11+ROW(A153)-1)*$G$5</f>
        <v>14.859733251479721</v>
      </c>
      <c r="C154" s="6">
        <f t="shared" si="6"/>
        <v>14.514158059584844</v>
      </c>
      <c r="D154" s="6">
        <f>SUBSTITUTE(INDEX(ログ!P:P,$F$11+ROW(A153)-1),":","")*$G$5</f>
        <v>14.168582867689967</v>
      </c>
      <c r="E154" s="4"/>
      <c r="F154" s="2"/>
      <c r="G154" s="2"/>
      <c r="H154" s="5">
        <f t="shared" si="7"/>
        <v>653.97861991187301</v>
      </c>
      <c r="I154" s="5">
        <f t="shared" si="8"/>
        <v>-617.02130327829843</v>
      </c>
      <c r="J154" s="5">
        <f>ROUNDDOWN(INDEX(ログ!S:S,$F$11+ROW(A153)-1) * $F$8,0)</f>
        <v>0</v>
      </c>
      <c r="K154" s="5"/>
    </row>
    <row r="155" spans="1:11">
      <c r="A155" t="str">
        <f>INDEX(ログ!A:A,$F$11+ROW(A154)-1)</f>
        <v xml:space="preserve">  3 :  0  0  1</v>
      </c>
      <c r="B155" s="6">
        <f>INDEX(ログ!N:N,$F$11+ROW(A154)-1)*$G$5</f>
        <v>14.168582867689967</v>
      </c>
      <c r="C155" s="6">
        <f t="shared" si="6"/>
        <v>14.341370463637405</v>
      </c>
      <c r="D155" s="6">
        <f>SUBSTITUTE(INDEX(ログ!P:P,$F$11+ROW(A154)-1),":","")*$G$5</f>
        <v>14.514158059584844</v>
      </c>
      <c r="E155" s="4"/>
      <c r="F155" s="2"/>
      <c r="G155" s="2"/>
      <c r="H155" s="5">
        <f t="shared" si="7"/>
        <v>668.31999037551043</v>
      </c>
      <c r="I155" s="5">
        <f t="shared" si="8"/>
        <v>-617.02130327829843</v>
      </c>
      <c r="J155" s="5">
        <f>ROUNDDOWN(INDEX(ログ!S:S,$F$11+ROW(A154)-1) * $F$8,0)</f>
        <v>0</v>
      </c>
      <c r="K155" s="5"/>
    </row>
    <row r="156" spans="1:11">
      <c r="A156" t="str">
        <f>INDEX(ログ!A:A,$F$11+ROW(A155)-1)</f>
        <v xml:space="preserve">  3 :  0  0  1</v>
      </c>
      <c r="B156" s="6">
        <f>INDEX(ログ!N:N,$F$11+ROW(A155)-1)*$G$5</f>
        <v>14.168582867689967</v>
      </c>
      <c r="C156" s="6">
        <f t="shared" si="6"/>
        <v>14.168582867689967</v>
      </c>
      <c r="D156" s="6">
        <f>SUBSTITUTE(INDEX(ログ!P:P,$F$11+ROW(A155)-1),":","")*$G$5</f>
        <v>14.168582867689967</v>
      </c>
      <c r="E156" s="4"/>
      <c r="F156" s="2"/>
      <c r="G156" s="2"/>
      <c r="H156" s="5">
        <f t="shared" si="7"/>
        <v>682.48857324320045</v>
      </c>
      <c r="I156" s="5">
        <f t="shared" si="8"/>
        <v>-617.02130327829843</v>
      </c>
      <c r="J156" s="5">
        <f>ROUNDDOWN(INDEX(ログ!S:S,$F$11+ROW(A155)-1) * $F$8,0)</f>
        <v>0</v>
      </c>
      <c r="K156" s="5"/>
    </row>
    <row r="157" spans="1:11">
      <c r="A157" t="str">
        <f>INDEX(ログ!A:A,$F$11+ROW(A156)-1)</f>
        <v xml:space="preserve">  3 :  0  0  1</v>
      </c>
      <c r="B157" s="6">
        <f>INDEX(ログ!N:N,$F$11+ROW(A156)-1)*$G$5</f>
        <v>12.44070690821558</v>
      </c>
      <c r="C157" s="6">
        <f t="shared" si="6"/>
        <v>12.44070690821558</v>
      </c>
      <c r="D157" s="6">
        <f>SUBSTITUTE(INDEX(ログ!P:P,$F$11+ROW(A156)-1),":","")*$G$5</f>
        <v>12.44070690821558</v>
      </c>
      <c r="E157" s="4"/>
      <c r="F157" s="2"/>
      <c r="G157" s="2"/>
      <c r="H157" s="5">
        <f t="shared" si="7"/>
        <v>694.92928015141604</v>
      </c>
      <c r="I157" s="5">
        <f t="shared" si="8"/>
        <v>-617.02130327829843</v>
      </c>
      <c r="J157" s="5">
        <f>ROUNDDOWN(INDEX(ログ!S:S,$F$11+ROW(A156)-1) * $F$8,0)</f>
        <v>0</v>
      </c>
      <c r="K157" s="5"/>
    </row>
    <row r="158" spans="1:11">
      <c r="A158" t="str">
        <f>INDEX(ログ!A:A,$F$11+ROW(A157)-1)</f>
        <v xml:space="preserve">  3 :  0  0  1</v>
      </c>
      <c r="B158" s="6">
        <f>INDEX(ログ!N:N,$F$11+ROW(A157)-1)*$G$5</f>
        <v>12.095131716320703</v>
      </c>
      <c r="C158" s="6">
        <f t="shared" si="6"/>
        <v>10.021680564951438</v>
      </c>
      <c r="D158" s="6">
        <f>SUBSTITUTE(INDEX(ログ!P:P,$F$11+ROW(A157)-1),":","")*$G$5</f>
        <v>7.9482294135821761</v>
      </c>
      <c r="E158" s="4"/>
      <c r="F158" s="2"/>
      <c r="G158" s="2"/>
      <c r="H158" s="5">
        <f t="shared" si="7"/>
        <v>704.95096071636749</v>
      </c>
      <c r="I158" s="5">
        <f t="shared" si="8"/>
        <v>-617.02130327829843</v>
      </c>
      <c r="J158" s="5">
        <f>ROUNDDOWN(INDEX(ログ!S:S,$F$11+ROW(A157)-1) * $F$8,0)</f>
        <v>0</v>
      </c>
      <c r="K158" s="5"/>
    </row>
    <row r="159" spans="1:11">
      <c r="A159" t="str">
        <f>INDEX(ログ!A:A,$F$11+ROW(A158)-1)</f>
        <v xml:space="preserve">  3 :  0  0  1</v>
      </c>
      <c r="B159" s="6">
        <f>INDEX(ログ!N:N,$F$11+ROW(A158)-1)*$G$5</f>
        <v>27.300440159695302</v>
      </c>
      <c r="C159" s="6">
        <f t="shared" si="6"/>
        <v>16.242034019059229</v>
      </c>
      <c r="D159" s="6">
        <f>SUBSTITUTE(INDEX(ログ!P:P,$F$11+ROW(A158)-1),":","")*$G$5</f>
        <v>5.1836278784231586</v>
      </c>
      <c r="E159" s="4"/>
      <c r="F159" s="2"/>
      <c r="G159" s="2"/>
      <c r="H159" s="5">
        <f t="shared" si="7"/>
        <v>721.19299473542674</v>
      </c>
      <c r="I159" s="5">
        <f t="shared" si="8"/>
        <v>-617.02130327829843</v>
      </c>
      <c r="J159" s="5">
        <f>ROUNDDOWN(INDEX(ログ!S:S,$F$11+ROW(A158)-1) * $F$8,0)</f>
        <v>2</v>
      </c>
      <c r="K159" s="5"/>
    </row>
    <row r="160" spans="1:11">
      <c r="A160" t="str">
        <f>INDEX(ログ!A:A,$F$11+ROW(A159)-1)</f>
        <v xml:space="preserve">  3 :  0  0  1</v>
      </c>
      <c r="B160" s="6">
        <f>INDEX(ログ!N:N,$F$11+ROW(A159)-1)*$G$5</f>
        <v>22.807962665061897</v>
      </c>
      <c r="C160" s="6">
        <f t="shared" si="6"/>
        <v>11.403981332530948</v>
      </c>
      <c r="D160" s="6">
        <f>SUBSTITUTE(INDEX(ログ!P:P,$F$11+ROW(A159)-1),":","")*$G$5</f>
        <v>0</v>
      </c>
      <c r="E160" s="4"/>
      <c r="F160" s="2"/>
      <c r="G160" s="2"/>
      <c r="H160" s="5">
        <f t="shared" si="7"/>
        <v>732.59002907065519</v>
      </c>
      <c r="I160" s="5">
        <f t="shared" si="8"/>
        <v>-616.62331006938837</v>
      </c>
      <c r="J160" s="5">
        <f>ROUNDDOWN(INDEX(ログ!S:S,$F$11+ROW(A159)-1) * $F$8,0)</f>
        <v>4</v>
      </c>
      <c r="K160" s="5"/>
    </row>
    <row r="161" spans="1:11">
      <c r="A161" t="str">
        <f>INDEX(ログ!A:A,$F$11+ROW(A160)-1)</f>
        <v xml:space="preserve">  3 :  0  0  1</v>
      </c>
      <c r="B161" s="6">
        <f>INDEX(ログ!N:N,$F$11+ROW(A160)-1)*$G$5</f>
        <v>25.226989008326036</v>
      </c>
      <c r="C161" s="6">
        <f t="shared" si="6"/>
        <v>13.304644887952772</v>
      </c>
      <c r="D161" s="6">
        <f>SUBSTITUTE(INDEX(ログ!P:P,$F$11+ROW(A160)-1),":","")*$G$5</f>
        <v>1.3823007675795089</v>
      </c>
      <c r="E161" s="4"/>
      <c r="F161" s="2"/>
      <c r="G161" s="2"/>
      <c r="H161" s="5">
        <f t="shared" si="7"/>
        <v>745.86226451235007</v>
      </c>
      <c r="I161" s="5">
        <f t="shared" si="8"/>
        <v>-615.69522495758702</v>
      </c>
      <c r="J161" s="5">
        <f>ROUNDDOWN(INDEX(ログ!S:S,$F$11+ROW(A160)-1) * $F$8,0)</f>
        <v>4</v>
      </c>
      <c r="K161" s="5"/>
    </row>
    <row r="162" spans="1:11">
      <c r="A162" t="str">
        <f>INDEX(ログ!A:A,$F$11+ROW(A161)-1)</f>
        <v xml:space="preserve">  3 :  0  0  1</v>
      </c>
      <c r="B162" s="6">
        <f>INDEX(ログ!N:N,$F$11+ROW(A161)-1)*$G$5</f>
        <v>24.190263432641405</v>
      </c>
      <c r="C162" s="6">
        <f t="shared" si="6"/>
        <v>14.686945655532282</v>
      </c>
      <c r="D162" s="6">
        <f>SUBSTITUTE(INDEX(ログ!P:P,$F$11+ROW(A161)-1),":","")*$G$5</f>
        <v>5.1836278784231586</v>
      </c>
      <c r="E162" s="4"/>
      <c r="F162" s="2"/>
      <c r="G162" s="2"/>
      <c r="H162" s="5">
        <f t="shared" si="7"/>
        <v>760.51343350642878</v>
      </c>
      <c r="I162" s="5">
        <f t="shared" si="8"/>
        <v>-614.67071541858547</v>
      </c>
      <c r="J162" s="5">
        <f>ROUNDDOWN(INDEX(ログ!S:S,$F$11+ROW(A161)-1) * $F$8,0)</f>
        <v>0</v>
      </c>
      <c r="K162" s="5"/>
    </row>
    <row r="163" spans="1:11">
      <c r="A163" t="str">
        <f>INDEX(ログ!A:A,$F$11+ROW(A162)-1)</f>
        <v xml:space="preserve">  3 :  0  0  1</v>
      </c>
      <c r="B163" s="6">
        <f>INDEX(ログ!N:N,$F$11+ROW(A162)-1)*$G$5</f>
        <v>14.859733251479721</v>
      </c>
      <c r="C163" s="6">
        <f t="shared" si="6"/>
        <v>11.23119373658351</v>
      </c>
      <c r="D163" s="6">
        <f>SUBSTITUTE(INDEX(ログ!P:P,$F$11+ROW(A162)-1),":","")*$G$5</f>
        <v>7.602654221687299</v>
      </c>
      <c r="E163" s="4"/>
      <c r="F163" s="2"/>
      <c r="G163" s="2"/>
      <c r="H163" s="5">
        <f t="shared" si="7"/>
        <v>771.74462724301225</v>
      </c>
      <c r="I163" s="5">
        <f t="shared" si="8"/>
        <v>-614.67071541858547</v>
      </c>
      <c r="J163" s="5">
        <f>ROUNDDOWN(INDEX(ログ!S:S,$F$11+ROW(A162)-1) * $F$8,0)</f>
        <v>0</v>
      </c>
      <c r="K163" s="5"/>
    </row>
    <row r="164" spans="1:11">
      <c r="A164" t="str">
        <f>INDEX(ログ!A:A,$F$11+ROW(A163)-1)</f>
        <v xml:space="preserve">  3 :  0  0  1</v>
      </c>
      <c r="B164" s="6">
        <f>INDEX(ログ!N:N,$F$11+ROW(A163)-1)*$G$5</f>
        <v>19.006635554218249</v>
      </c>
      <c r="C164" s="6">
        <f t="shared" si="6"/>
        <v>17.451547190691301</v>
      </c>
      <c r="D164" s="6">
        <f>SUBSTITUTE(INDEX(ログ!P:P,$F$11+ROW(A163)-1),":","")*$G$5</f>
        <v>15.896458827164352</v>
      </c>
      <c r="E164" s="4"/>
      <c r="F164" s="2"/>
      <c r="G164" s="2"/>
      <c r="H164" s="5">
        <f t="shared" si="7"/>
        <v>789.1961744337035</v>
      </c>
      <c r="I164" s="5">
        <f t="shared" si="8"/>
        <v>-614.67071541858547</v>
      </c>
      <c r="J164" s="5">
        <f>ROUNDDOWN(INDEX(ログ!S:S,$F$11+ROW(A163)-1) * $F$8,0)</f>
        <v>-2</v>
      </c>
      <c r="K164" s="5"/>
    </row>
    <row r="165" spans="1:11">
      <c r="A165" t="str">
        <f>INDEX(ログ!A:A,$F$11+ROW(A164)-1)</f>
        <v xml:space="preserve">  3 :  0  0  1</v>
      </c>
      <c r="B165" s="6">
        <f>INDEX(ログ!N:N,$F$11+ROW(A164)-1)*$G$5</f>
        <v>11.749556524425826</v>
      </c>
      <c r="C165" s="6">
        <f t="shared" si="6"/>
        <v>6.5659286460026669</v>
      </c>
      <c r="D165" s="6">
        <f>SUBSTITUTE(INDEX(ログ!P:P,$F$11+ROW(A164)-1),":","")*$G$5</f>
        <v>1.3823007675795089</v>
      </c>
      <c r="E165" s="4"/>
      <c r="F165" s="2"/>
      <c r="G165" s="2"/>
      <c r="H165" s="5">
        <f t="shared" si="7"/>
        <v>795.75810329338049</v>
      </c>
      <c r="I165" s="5">
        <f t="shared" si="8"/>
        <v>-614.89986302371551</v>
      </c>
      <c r="J165" s="5">
        <f>ROUNDDOWN(INDEX(ログ!S:S,$F$11+ROW(A164)-1) * $F$8,0)</f>
        <v>-2</v>
      </c>
      <c r="K165" s="5"/>
    </row>
    <row r="166" spans="1:11">
      <c r="A166" t="str">
        <f>INDEX(ログ!A:A,$F$11+ROW(A165)-1)</f>
        <v xml:space="preserve">  3 :  0  0  1</v>
      </c>
      <c r="B166" s="6">
        <f>INDEX(ログ!N:N,$F$11+ROW(A165)-1)*$G$5</f>
        <v>2.7646015351590179</v>
      </c>
      <c r="C166" s="6">
        <f t="shared" si="6"/>
        <v>2.5918139392115793</v>
      </c>
      <c r="D166" s="6">
        <f>SUBSTITUTE(INDEX(ログ!P:P,$F$11+ROW(A165)-1),":","")*$G$5</f>
        <v>2.4190263432641408</v>
      </c>
      <c r="E166" s="4"/>
      <c r="F166" s="2"/>
      <c r="G166" s="2"/>
      <c r="H166" s="5">
        <f t="shared" si="7"/>
        <v>798.34833836956875</v>
      </c>
      <c r="I166" s="5">
        <f t="shared" si="8"/>
        <v>-614.99031602574053</v>
      </c>
      <c r="J166" s="5">
        <f>ROUNDDOWN(INDEX(ログ!S:S,$F$11+ROW(A165)-1) * $F$8,0)</f>
        <v>-2</v>
      </c>
      <c r="K166" s="5"/>
    </row>
    <row r="167" spans="1:11">
      <c r="A167" t="str">
        <f>INDEX(ログ!A:A,$F$11+ROW(A166)-1)</f>
        <v xml:space="preserve">  3 :  0  0  1</v>
      </c>
      <c r="B167" s="6">
        <f>INDEX(ログ!N:N,$F$11+ROW(A166)-1)*$G$5</f>
        <v>5.5292030703180357</v>
      </c>
      <c r="C167" s="6">
        <f t="shared" si="6"/>
        <v>6.9115038378975449</v>
      </c>
      <c r="D167" s="6">
        <f>SUBSTITUTE(INDEX(ログ!P:P,$F$11+ROW(A166)-1),":","")*$G$5</f>
        <v>8.2938046054770531</v>
      </c>
      <c r="E167" s="4"/>
      <c r="F167" s="2"/>
      <c r="G167" s="2"/>
      <c r="H167" s="5">
        <f t="shared" si="7"/>
        <v>805.25563190607079</v>
      </c>
      <c r="I167" s="5">
        <f t="shared" si="8"/>
        <v>-615.23152403114057</v>
      </c>
      <c r="J167" s="5">
        <f>ROUNDDOWN(INDEX(ログ!S:S,$F$11+ROW(A166)-1) * $F$8,0)</f>
        <v>-2</v>
      </c>
      <c r="K167" s="5"/>
    </row>
    <row r="168" spans="1:11">
      <c r="A168" t="str">
        <f>INDEX(ログ!A:A,$F$11+ROW(A167)-1)</f>
        <v xml:space="preserve">  3 :  0  0  1</v>
      </c>
      <c r="B168" s="6">
        <f>INDEX(ログ!N:N,$F$11+ROW(A167)-1)*$G$5</f>
        <v>19.697785938008003</v>
      </c>
      <c r="C168" s="6">
        <f t="shared" si="6"/>
        <v>17.451547190691301</v>
      </c>
      <c r="D168" s="6">
        <f>SUBSTITUTE(INDEX(ログ!P:P,$F$11+ROW(A167)-1),":","")*$G$5</f>
        <v>15.205308443374598</v>
      </c>
      <c r="E168" s="4"/>
      <c r="F168" s="2"/>
      <c r="G168" s="2"/>
      <c r="H168" s="5">
        <f t="shared" si="7"/>
        <v>822.69654808573853</v>
      </c>
      <c r="I168" s="5">
        <f t="shared" si="8"/>
        <v>-615.84057424477567</v>
      </c>
      <c r="J168" s="5">
        <f>ROUNDDOWN(INDEX(ログ!S:S,$F$11+ROW(A167)-1) * $F$8,0)</f>
        <v>-4</v>
      </c>
      <c r="K168" s="5"/>
    </row>
    <row r="169" spans="1:11">
      <c r="A169" t="str">
        <f>INDEX(ログ!A:A,$F$11+ROW(A168)-1)</f>
        <v xml:space="preserve">  3 :  0  0  1</v>
      </c>
      <c r="B169" s="6">
        <f>INDEX(ログ!N:N,$F$11+ROW(A168)-1)*$G$5</f>
        <v>14.514158059584844</v>
      </c>
      <c r="C169" s="6">
        <f t="shared" si="6"/>
        <v>10.02168056495144</v>
      </c>
      <c r="D169" s="6">
        <f>SUBSTITUTE(INDEX(ログ!P:P,$F$11+ROW(A168)-1),":","")*$G$5</f>
        <v>5.5292030703180357</v>
      </c>
      <c r="E169" s="4"/>
      <c r="F169" s="2"/>
      <c r="G169" s="2"/>
      <c r="H169" s="5">
        <f t="shared" si="7"/>
        <v>832.69381634052161</v>
      </c>
      <c r="I169" s="5">
        <f t="shared" si="8"/>
        <v>-616.53965134197676</v>
      </c>
      <c r="J169" s="5">
        <f>ROUNDDOWN(INDEX(ログ!S:S,$F$11+ROW(A168)-1) * $F$8,0)</f>
        <v>-4</v>
      </c>
      <c r="K169" s="5"/>
    </row>
    <row r="170" spans="1:11">
      <c r="A170" t="str">
        <f>INDEX(ログ!A:A,$F$11+ROW(A169)-1)</f>
        <v xml:space="preserve">  3 :  0  0  1</v>
      </c>
      <c r="B170" s="6">
        <f>INDEX(ログ!N:N,$F$11+ROW(A169)-1)*$G$5</f>
        <v>19.697785938008003</v>
      </c>
      <c r="C170" s="6">
        <f t="shared" si="6"/>
        <v>15.550883635269475</v>
      </c>
      <c r="D170" s="6">
        <f>SUBSTITUTE(INDEX(ログ!P:P,$F$11+ROW(A169)-1),":","")*$G$5</f>
        <v>11.403981332530948</v>
      </c>
      <c r="E170" s="4"/>
      <c r="F170" s="2"/>
      <c r="G170" s="2"/>
      <c r="H170" s="5">
        <f t="shared" si="7"/>
        <v>848.20681880484028</v>
      </c>
      <c r="I170" s="5">
        <f t="shared" si="8"/>
        <v>-617.6244261479784</v>
      </c>
      <c r="J170" s="5">
        <f>ROUNDDOWN(INDEX(ログ!S:S,$F$11+ROW(A169)-1) * $F$8,0)</f>
        <v>-4</v>
      </c>
      <c r="K170" s="5"/>
    </row>
    <row r="171" spans="1:11">
      <c r="A171" t="str">
        <f>INDEX(ログ!A:A,$F$11+ROW(A170)-1)</f>
        <v xml:space="preserve">  3 :  0  0  1</v>
      </c>
      <c r="B171" s="6">
        <f>INDEX(ログ!N:N,$F$11+ROW(A170)-1)*$G$5</f>
        <v>15.896458827164352</v>
      </c>
      <c r="C171" s="6">
        <f t="shared" si="6"/>
        <v>12.095131716320703</v>
      </c>
      <c r="D171" s="6">
        <f>SUBSTITUTE(INDEX(ログ!P:P,$F$11+ROW(A170)-1),":","")*$G$5</f>
        <v>8.2938046054770531</v>
      </c>
      <c r="E171" s="4"/>
      <c r="F171" s="2"/>
      <c r="G171" s="2"/>
      <c r="H171" s="5">
        <f t="shared" si="7"/>
        <v>860.27248738819924</v>
      </c>
      <c r="I171" s="5">
        <f t="shared" si="8"/>
        <v>-618.46813988597967</v>
      </c>
      <c r="J171" s="5">
        <f>ROUNDDOWN(INDEX(ログ!S:S,$F$11+ROW(A170)-1) * $F$8,0)</f>
        <v>-4</v>
      </c>
      <c r="K171" s="5"/>
    </row>
    <row r="172" spans="1:11">
      <c r="A172" t="str">
        <f>INDEX(ログ!A:A,$F$11+ROW(A171)-1)</f>
        <v xml:space="preserve">  3 :  0  0  1</v>
      </c>
      <c r="B172" s="6">
        <f>INDEX(ログ!N:N,$F$11+ROW(A171)-1)*$G$5</f>
        <v>16.242034019059229</v>
      </c>
      <c r="C172" s="6">
        <f t="shared" si="6"/>
        <v>12.095131716320703</v>
      </c>
      <c r="D172" s="6">
        <f>SUBSTITUTE(INDEX(ログ!P:P,$F$11+ROW(A171)-1),":","")*$G$5</f>
        <v>7.9482294135821761</v>
      </c>
      <c r="E172" s="4"/>
      <c r="F172" s="2"/>
      <c r="G172" s="2"/>
      <c r="H172" s="5">
        <f t="shared" si="7"/>
        <v>872.33815597155819</v>
      </c>
      <c r="I172" s="5">
        <f t="shared" si="8"/>
        <v>-619.31185362398094</v>
      </c>
      <c r="J172" s="5">
        <f>ROUNDDOWN(INDEX(ログ!S:S,$F$11+ROW(A171)-1) * $F$8,0)</f>
        <v>-4</v>
      </c>
      <c r="K172" s="5"/>
    </row>
    <row r="173" spans="1:11">
      <c r="A173" t="str">
        <f>INDEX(ログ!A:A,$F$11+ROW(A172)-1)</f>
        <v xml:space="preserve">  3 :  0  0  1</v>
      </c>
      <c r="B173" s="6">
        <f>INDEX(ログ!N:N,$F$11+ROW(A172)-1)*$G$5</f>
        <v>3.4557519189487724</v>
      </c>
      <c r="C173" s="6">
        <f t="shared" si="6"/>
        <v>2.7646015351590179</v>
      </c>
      <c r="D173" s="6">
        <f>SUBSTITUTE(INDEX(ログ!P:P,$F$11+ROW(A172)-1),":","")*$G$5</f>
        <v>2.0734511513692633</v>
      </c>
      <c r="E173" s="4"/>
      <c r="F173" s="2"/>
      <c r="G173" s="2"/>
      <c r="H173" s="5">
        <f t="shared" si="7"/>
        <v>875.09602307632599</v>
      </c>
      <c r="I173" s="5">
        <f t="shared" si="8"/>
        <v>-619.5047024783812</v>
      </c>
      <c r="J173" s="5">
        <f>ROUNDDOWN(INDEX(ログ!S:S,$F$11+ROW(A172)-1) * $F$8,0)</f>
        <v>-4</v>
      </c>
      <c r="K173" s="5"/>
    </row>
    <row r="174" spans="1:11">
      <c r="A174" t="str">
        <f>INDEX(ログ!A:A,$F$11+ROW(A173)-1)</f>
        <v xml:space="preserve">  3 :  0  0  1</v>
      </c>
      <c r="B174" s="6">
        <f>INDEX(ログ!N:N,$F$11+ROW(A173)-1)*$G$5</f>
        <v>3.1101767270538949</v>
      </c>
      <c r="C174" s="6">
        <f t="shared" si="6"/>
        <v>3.2829643230013339</v>
      </c>
      <c r="D174" s="6">
        <f>SUBSTITUTE(INDEX(ログ!P:P,$F$11+ROW(A173)-1),":","")*$G$5</f>
        <v>3.4557519189487724</v>
      </c>
      <c r="E174" s="4"/>
      <c r="F174" s="2"/>
      <c r="G174" s="2"/>
      <c r="H174" s="5">
        <f t="shared" si="7"/>
        <v>878.37099026323767</v>
      </c>
      <c r="I174" s="5">
        <f t="shared" si="8"/>
        <v>-619.73371049298157</v>
      </c>
      <c r="J174" s="5">
        <f>ROUNDDOWN(INDEX(ログ!S:S,$F$11+ROW(A173)-1) * $F$8,0)</f>
        <v>-4</v>
      </c>
      <c r="K174" s="5"/>
    </row>
    <row r="175" spans="1:11">
      <c r="A175" t="str">
        <f>INDEX(ログ!A:A,$F$11+ROW(A174)-1)</f>
        <v xml:space="preserve">  3 :  0  0  1</v>
      </c>
      <c r="B175" s="6">
        <f>INDEX(ログ!N:N,$F$11+ROW(A174)-1)*$G$5</f>
        <v>8.9849549892668072</v>
      </c>
      <c r="C175" s="6">
        <f t="shared" si="6"/>
        <v>8.9849549892668072</v>
      </c>
      <c r="D175" s="6">
        <f>SUBSTITUTE(INDEX(ログ!P:P,$F$11+ROW(A174)-1),":","")*$G$5</f>
        <v>8.9849549892668072</v>
      </c>
      <c r="E175" s="4"/>
      <c r="F175" s="2"/>
      <c r="G175" s="2"/>
      <c r="H175" s="5">
        <f t="shared" si="7"/>
        <v>887.33405835373287</v>
      </c>
      <c r="I175" s="5">
        <f t="shared" si="8"/>
        <v>-620.36046926978247</v>
      </c>
      <c r="J175" s="5">
        <f>ROUNDDOWN(INDEX(ログ!S:S,$F$11+ROW(A174)-1) * $F$8,0)</f>
        <v>-4</v>
      </c>
      <c r="K175" s="5"/>
    </row>
    <row r="176" spans="1:11">
      <c r="A176" t="str">
        <f>INDEX(ログ!A:A,$F$11+ROW(A175)-1)</f>
        <v xml:space="preserve">  3 :  0  0  1</v>
      </c>
      <c r="B176" s="6">
        <f>INDEX(ログ!N:N,$F$11+ROW(A175)-1)*$G$5</f>
        <v>18.315485170428492</v>
      </c>
      <c r="C176" s="6">
        <f t="shared" si="6"/>
        <v>16.069246423111792</v>
      </c>
      <c r="D176" s="6">
        <f>SUBSTITUTE(INDEX(ログ!P:P,$F$11+ROW(A175)-1),":","")*$G$5</f>
        <v>13.82300767579509</v>
      </c>
      <c r="E176" s="4"/>
      <c r="F176" s="2"/>
      <c r="G176" s="2"/>
      <c r="H176" s="5">
        <f t="shared" si="7"/>
        <v>903.36416090019543</v>
      </c>
      <c r="I176" s="5">
        <f t="shared" si="8"/>
        <v>-621.4814032359842</v>
      </c>
      <c r="J176" s="5">
        <f>ROUNDDOWN(INDEX(ログ!S:S,$F$11+ROW(A175)-1) * $F$8,0)</f>
        <v>-4</v>
      </c>
      <c r="K176" s="5"/>
    </row>
    <row r="177" spans="1:11">
      <c r="A177" t="str">
        <f>INDEX(ログ!A:A,$F$11+ROW(A176)-1)</f>
        <v xml:space="preserve">  3 :  0  0  1</v>
      </c>
      <c r="B177" s="6">
        <f>INDEX(ログ!N:N,$F$11+ROW(A176)-1)*$G$5</f>
        <v>15.550883635269475</v>
      </c>
      <c r="C177" s="6">
        <f t="shared" si="6"/>
        <v>12.959069696057895</v>
      </c>
      <c r="D177" s="6">
        <f>SUBSTITUTE(INDEX(ログ!P:P,$F$11+ROW(A176)-1),":","")*$G$5</f>
        <v>10.367255756846317</v>
      </c>
      <c r="E177" s="4"/>
      <c r="F177" s="2"/>
      <c r="G177" s="2"/>
      <c r="H177" s="5">
        <f t="shared" si="7"/>
        <v>916.29166295379434</v>
      </c>
      <c r="I177" s="5">
        <f t="shared" si="8"/>
        <v>-622.38538224098556</v>
      </c>
      <c r="J177" s="5">
        <f>ROUNDDOWN(INDEX(ログ!S:S,$F$11+ROW(A176)-1) * $F$8,0)</f>
        <v>-6</v>
      </c>
      <c r="K177" s="5"/>
    </row>
    <row r="178" spans="1:11">
      <c r="A178" t="str">
        <f>INDEX(ログ!A:A,$F$11+ROW(A177)-1)</f>
        <v xml:space="preserve">  3 :  0  0  1</v>
      </c>
      <c r="B178" s="6">
        <f>INDEX(ログ!N:N,$F$11+ROW(A177)-1)*$G$5</f>
        <v>14.859733251479721</v>
      </c>
      <c r="C178" s="6">
        <f t="shared" si="6"/>
        <v>12.613494504163018</v>
      </c>
      <c r="D178" s="6">
        <f>SUBSTITUTE(INDEX(ログ!P:P,$F$11+ROW(A177)-1),":","")*$G$5</f>
        <v>10.367255756846317</v>
      </c>
      <c r="E178" s="4"/>
      <c r="F178" s="2"/>
      <c r="G178" s="2"/>
      <c r="H178" s="5">
        <f t="shared" si="7"/>
        <v>928.83605941529186</v>
      </c>
      <c r="I178" s="5">
        <f t="shared" si="8"/>
        <v>-623.70385143794067</v>
      </c>
      <c r="J178" s="5">
        <f>ROUNDDOWN(INDEX(ログ!S:S,$F$11+ROW(A177)-1) * $F$8,0)</f>
        <v>-6</v>
      </c>
      <c r="K178" s="5"/>
    </row>
    <row r="179" spans="1:11">
      <c r="A179" t="str">
        <f>INDEX(ログ!A:A,$F$11+ROW(A178)-1)</f>
        <v xml:space="preserve">  3 :  0  0  1</v>
      </c>
      <c r="B179" s="6">
        <f>INDEX(ログ!N:N,$F$11+ROW(A178)-1)*$G$5</f>
        <v>17.624334786638737</v>
      </c>
      <c r="C179" s="6">
        <f t="shared" si="6"/>
        <v>15.723671231216914</v>
      </c>
      <c r="D179" s="6">
        <f>SUBSTITUTE(INDEX(ログ!P:P,$F$11+ROW(A178)-1),":","")*$G$5</f>
        <v>13.82300767579509</v>
      </c>
      <c r="E179" s="4"/>
      <c r="F179" s="2"/>
      <c r="G179" s="2"/>
      <c r="H179" s="5">
        <f t="shared" si="7"/>
        <v>944.47359473030929</v>
      </c>
      <c r="I179" s="5">
        <f t="shared" si="8"/>
        <v>-625.34742262866564</v>
      </c>
      <c r="J179" s="5">
        <f>ROUNDDOWN(INDEX(ログ!S:S,$F$11+ROW(A178)-1) * $F$8,0)</f>
        <v>-6</v>
      </c>
      <c r="K179" s="5"/>
    </row>
    <row r="180" spans="1:11">
      <c r="A180" t="str">
        <f>INDEX(ログ!A:A,$F$11+ROW(A179)-1)</f>
        <v xml:space="preserve">  3 :  0  0  1</v>
      </c>
      <c r="B180" s="6">
        <f>INDEX(ログ!N:N,$F$11+ROW(A179)-1)*$G$5</f>
        <v>9.3305301811616861</v>
      </c>
      <c r="C180" s="6">
        <f t="shared" si="6"/>
        <v>6.3931410500552293</v>
      </c>
      <c r="D180" s="6">
        <f>SUBSTITUTE(INDEX(ログ!P:P,$F$11+ROW(A179)-1),":","")*$G$5</f>
        <v>3.4557519189487724</v>
      </c>
      <c r="E180" s="4"/>
      <c r="F180" s="2"/>
      <c r="G180" s="2"/>
      <c r="H180" s="5">
        <f t="shared" si="7"/>
        <v>950.83171348476696</v>
      </c>
      <c r="I180" s="5">
        <f t="shared" si="8"/>
        <v>-626.01568783808125</v>
      </c>
      <c r="J180" s="5">
        <f>ROUNDDOWN(INDEX(ログ!S:S,$F$11+ROW(A179)-1) * $F$8,0)</f>
        <v>-4</v>
      </c>
      <c r="K180" s="5"/>
    </row>
    <row r="181" spans="1:11">
      <c r="A181" t="str">
        <f>INDEX(ログ!A:A,$F$11+ROW(A180)-1)</f>
        <v xml:space="preserve">  3 :  0  0  1</v>
      </c>
      <c r="B181" s="6">
        <f>INDEX(ログ!N:N,$F$11+ROW(A180)-1)*$G$5</f>
        <v>2.7646015351590179</v>
      </c>
      <c r="C181" s="6">
        <f t="shared" si="6"/>
        <v>2.5918139392115793</v>
      </c>
      <c r="D181" s="6">
        <f>SUBSTITUTE(INDEX(ログ!P:P,$F$11+ROW(A180)-1),":","")*$G$5</f>
        <v>2.4190263432641408</v>
      </c>
      <c r="E181" s="4"/>
      <c r="F181" s="2"/>
      <c r="G181" s="2"/>
      <c r="H181" s="5">
        <f t="shared" si="7"/>
        <v>953.41721389548673</v>
      </c>
      <c r="I181" s="5">
        <f t="shared" si="8"/>
        <v>-626.19648363908152</v>
      </c>
      <c r="J181" s="5">
        <f>ROUNDDOWN(INDEX(ログ!S:S,$F$11+ROW(A180)-1) * $F$8,0)</f>
        <v>-6</v>
      </c>
      <c r="K181" s="5"/>
    </row>
    <row r="182" spans="1:11">
      <c r="A182" t="str">
        <f>INDEX(ログ!A:A,$F$11+ROW(A181)-1)</f>
        <v xml:space="preserve">  3 :  0  0  1</v>
      </c>
      <c r="B182" s="6">
        <f>INDEX(ログ!N:N,$F$11+ROW(A181)-1)*$G$5</f>
        <v>4.1469023027385266</v>
      </c>
      <c r="C182" s="6">
        <f t="shared" si="6"/>
        <v>4.1469023027385266</v>
      </c>
      <c r="D182" s="6">
        <f>SUBSTITUTE(INDEX(ログ!P:P,$F$11+ROW(A181)-1),":","")*$G$5</f>
        <v>4.1469023027385266</v>
      </c>
      <c r="E182" s="4"/>
      <c r="F182" s="2"/>
      <c r="G182" s="2"/>
      <c r="H182" s="5">
        <f t="shared" si="7"/>
        <v>957.54139903351336</v>
      </c>
      <c r="I182" s="5">
        <f t="shared" si="8"/>
        <v>-626.62995296410793</v>
      </c>
      <c r="J182" s="5">
        <f>ROUNDDOWN(INDEX(ログ!S:S,$F$11+ROW(A181)-1) * $F$8,0)</f>
        <v>-6</v>
      </c>
      <c r="K182" s="5"/>
    </row>
    <row r="183" spans="1:11">
      <c r="A183" t="str">
        <f>INDEX(ログ!A:A,$F$11+ROW(A182)-1)</f>
        <v xml:space="preserve">  3 :  0  0  1</v>
      </c>
      <c r="B183" s="6">
        <f>INDEX(ログ!N:N,$F$11+ROW(A182)-1)*$G$5</f>
        <v>9.3305301811616861</v>
      </c>
      <c r="C183" s="6">
        <f t="shared" si="6"/>
        <v>7.602654221687299</v>
      </c>
      <c r="D183" s="6">
        <f>SUBSTITUTE(INDEX(ログ!P:P,$F$11+ROW(A182)-1),":","")*$G$5</f>
        <v>5.8747782622129128</v>
      </c>
      <c r="E183" s="4"/>
      <c r="F183" s="2"/>
      <c r="G183" s="2"/>
      <c r="H183" s="5">
        <f t="shared" si="7"/>
        <v>965.10240511989537</v>
      </c>
      <c r="I183" s="5">
        <f t="shared" si="8"/>
        <v>-627.42464672665619</v>
      </c>
      <c r="J183" s="5">
        <f>ROUNDDOWN(INDEX(ログ!S:S,$F$11+ROW(A182)-1) * $F$8,0)</f>
        <v>-6</v>
      </c>
      <c r="K183" s="5"/>
    </row>
    <row r="184" spans="1:11">
      <c r="A184" t="str">
        <f>INDEX(ログ!A:A,$F$11+ROW(A183)-1)</f>
        <v xml:space="preserve">  3 :  0  0  1</v>
      </c>
      <c r="B184" s="6">
        <f>INDEX(ログ!N:N,$F$11+ROW(A183)-1)*$G$5</f>
        <v>10.02168056495144</v>
      </c>
      <c r="C184" s="6">
        <f t="shared" si="6"/>
        <v>7.9482294135821761</v>
      </c>
      <c r="D184" s="6">
        <f>SUBSTITUTE(INDEX(ログ!P:P,$F$11+ROW(A183)-1),":","")*$G$5</f>
        <v>5.8747782622129128</v>
      </c>
      <c r="E184" s="4"/>
      <c r="F184" s="2"/>
      <c r="G184" s="2"/>
      <c r="H184" s="5">
        <f t="shared" si="7"/>
        <v>973.00709330111295</v>
      </c>
      <c r="I184" s="5">
        <f t="shared" si="8"/>
        <v>-628.25546293295668</v>
      </c>
      <c r="J184" s="5">
        <f>ROUNDDOWN(INDEX(ログ!S:S,$F$11+ROW(A183)-1) * $F$8,0)</f>
        <v>-6</v>
      </c>
      <c r="K184" s="5"/>
    </row>
    <row r="185" spans="1:11">
      <c r="A185" t="str">
        <f>INDEX(ログ!A:A,$F$11+ROW(A184)-1)</f>
        <v xml:space="preserve">  3 :  0  0  1</v>
      </c>
      <c r="B185" s="6">
        <f>INDEX(ログ!N:N,$F$11+ROW(A184)-1)*$G$5</f>
        <v>14.859733251479721</v>
      </c>
      <c r="C185" s="6">
        <f t="shared" si="6"/>
        <v>11.058406140636071</v>
      </c>
      <c r="D185" s="6">
        <f>SUBSTITUTE(INDEX(ログ!P:P,$F$11+ROW(A184)-1),":","")*$G$5</f>
        <v>7.2570790297924219</v>
      </c>
      <c r="E185" s="4"/>
      <c r="F185" s="2"/>
      <c r="G185" s="2"/>
      <c r="H185" s="5">
        <f t="shared" si="7"/>
        <v>984.00492033585044</v>
      </c>
      <c r="I185" s="5">
        <f t="shared" si="8"/>
        <v>-629.41138113302691</v>
      </c>
      <c r="J185" s="5">
        <f>ROUNDDOWN(INDEX(ログ!S:S,$F$11+ROW(A184)-1) * $F$8,0)</f>
        <v>-6</v>
      </c>
      <c r="K185" s="5"/>
    </row>
    <row r="186" spans="1:11">
      <c r="A186" t="str">
        <f>INDEX(ログ!A:A,$F$11+ROW(A185)-1)</f>
        <v xml:space="preserve">  3 :  0  0  1</v>
      </c>
      <c r="B186" s="6">
        <f>INDEX(ログ!N:N,$F$11+ROW(A185)-1)*$G$5</f>
        <v>16.933184402848983</v>
      </c>
      <c r="C186" s="6">
        <f t="shared" si="6"/>
        <v>13.650220079847649</v>
      </c>
      <c r="D186" s="6">
        <f>SUBSTITUTE(INDEX(ログ!P:P,$F$11+ROW(A185)-1),":","")*$G$5</f>
        <v>10.367255756846317</v>
      </c>
      <c r="E186" s="4"/>
      <c r="F186" s="2"/>
      <c r="G186" s="2"/>
      <c r="H186" s="5">
        <f t="shared" si="7"/>
        <v>997.58036308185456</v>
      </c>
      <c r="I186" s="5">
        <f t="shared" si="8"/>
        <v>-630.83821766123867</v>
      </c>
      <c r="J186" s="5">
        <f>ROUNDDOWN(INDEX(ログ!S:S,$F$11+ROW(A185)-1) * $F$8,0)</f>
        <v>-6</v>
      </c>
      <c r="K186" s="5"/>
    </row>
    <row r="187" spans="1:11">
      <c r="A187" t="str">
        <f>INDEX(ログ!A:A,$F$11+ROW(A186)-1)</f>
        <v xml:space="preserve">  3 :  0  0  1</v>
      </c>
      <c r="B187" s="6">
        <f>INDEX(ログ!N:N,$F$11+ROW(A186)-1)*$G$5</f>
        <v>7.602654221687299</v>
      </c>
      <c r="C187" s="6">
        <f t="shared" si="6"/>
        <v>10.194468160898879</v>
      </c>
      <c r="D187" s="6">
        <f>SUBSTITUTE(INDEX(ログ!P:P,$F$11+ROW(A186)-1),":","")*$G$5</f>
        <v>12.786282100110457</v>
      </c>
      <c r="E187" s="4"/>
      <c r="F187" s="2"/>
      <c r="G187" s="2"/>
      <c r="H187" s="5">
        <f t="shared" si="7"/>
        <v>1007.7189848795032</v>
      </c>
      <c r="I187" s="5">
        <f t="shared" si="8"/>
        <v>-631.90382975192847</v>
      </c>
      <c r="J187" s="5">
        <f>ROUNDDOWN(INDEX(ログ!S:S,$F$11+ROW(A186)-1) * $F$8,0)</f>
        <v>-8</v>
      </c>
      <c r="K187" s="5"/>
    </row>
    <row r="188" spans="1:11">
      <c r="A188" t="str">
        <f>INDEX(ログ!A:A,$F$11+ROW(A187)-1)</f>
        <v xml:space="preserve">  3 :  0  0  1</v>
      </c>
      <c r="B188" s="6">
        <f>INDEX(ログ!N:N,$F$11+ROW(A187)-1)*$G$5</f>
        <v>8.6393797973719302</v>
      </c>
      <c r="C188" s="6">
        <f t="shared" si="6"/>
        <v>13.131857292005334</v>
      </c>
      <c r="D188" s="6">
        <f>SUBSTITUTE(INDEX(ログ!P:P,$F$11+ROW(A187)-1),":","")*$G$5</f>
        <v>17.624334786638737</v>
      </c>
      <c r="E188" s="4"/>
      <c r="F188" s="2"/>
      <c r="G188" s="2"/>
      <c r="H188" s="5">
        <f t="shared" si="7"/>
        <v>1020.7230438390473</v>
      </c>
      <c r="I188" s="5">
        <f t="shared" si="8"/>
        <v>-633.73143105262193</v>
      </c>
      <c r="J188" s="5">
        <f>ROUNDDOWN(INDEX(ログ!S:S,$F$11+ROW(A187)-1) * $F$8,0)</f>
        <v>-10</v>
      </c>
      <c r="K188" s="5"/>
    </row>
    <row r="189" spans="1:11">
      <c r="A189" t="str">
        <f>INDEX(ログ!A:A,$F$11+ROW(A188)-1)</f>
        <v xml:space="preserve">  3 :  0  0  1</v>
      </c>
      <c r="B189" s="6">
        <f>INDEX(ログ!N:N,$F$11+ROW(A188)-1)*$G$5</f>
        <v>1.3823007675795089</v>
      </c>
      <c r="C189" s="6">
        <f t="shared" si="6"/>
        <v>2.7646015351590179</v>
      </c>
      <c r="D189" s="6">
        <f>SUBSTITUTE(INDEX(ログ!P:P,$F$11+ROW(A188)-1),":","")*$G$5</f>
        <v>4.1469023027385266</v>
      </c>
      <c r="E189" s="4"/>
      <c r="F189" s="2"/>
      <c r="G189" s="2"/>
      <c r="H189" s="5">
        <f t="shared" si="7"/>
        <v>1023.4456448648613</v>
      </c>
      <c r="I189" s="5">
        <f t="shared" si="8"/>
        <v>-634.21149907117751</v>
      </c>
      <c r="J189" s="5">
        <f>ROUNDDOWN(INDEX(ログ!S:S,$F$11+ROW(A188)-1) * $F$8,0)</f>
        <v>-8</v>
      </c>
      <c r="K189" s="5"/>
    </row>
    <row r="190" spans="1:11">
      <c r="A190" t="str">
        <f>INDEX(ログ!A:A,$F$11+ROW(A189)-1)</f>
        <v xml:space="preserve">  3 :  0  0  1</v>
      </c>
      <c r="B190" s="6">
        <f>INDEX(ログ!N:N,$F$11+ROW(A189)-1)*$G$5</f>
        <v>6.2203534541077898</v>
      </c>
      <c r="C190" s="6">
        <f t="shared" si="6"/>
        <v>5.5292030703180357</v>
      </c>
      <c r="D190" s="6">
        <f>SUBSTITUTE(INDEX(ログ!P:P,$F$11+ROW(A189)-1),":","")*$G$5</f>
        <v>4.8380526865282816</v>
      </c>
      <c r="E190" s="4"/>
      <c r="F190" s="2"/>
      <c r="G190" s="2"/>
      <c r="H190" s="5">
        <f t="shared" si="7"/>
        <v>1028.9210381109851</v>
      </c>
      <c r="I190" s="5">
        <f t="shared" si="8"/>
        <v>-634.98101540831158</v>
      </c>
      <c r="J190" s="5">
        <f>ROUNDDOWN(INDEX(ログ!S:S,$F$11+ROW(A189)-1) * $F$8,0)</f>
        <v>-6</v>
      </c>
      <c r="K190" s="5"/>
    </row>
    <row r="191" spans="1:11">
      <c r="A191" t="str">
        <f>INDEX(ログ!A:A,$F$11+ROW(A190)-1)</f>
        <v xml:space="preserve">  3 :  0  0  1</v>
      </c>
      <c r="B191" s="6">
        <f>INDEX(ログ!N:N,$F$11+ROW(A190)-1)*$G$5</f>
        <v>11.749556524425826</v>
      </c>
      <c r="C191" s="6">
        <f t="shared" si="6"/>
        <v>13.477432483900213</v>
      </c>
      <c r="D191" s="6">
        <f>SUBSTITUTE(INDEX(ログ!P:P,$F$11+ROW(A190)-1),":","")*$G$5</f>
        <v>15.205308443374598</v>
      </c>
      <c r="E191" s="4"/>
      <c r="F191" s="2"/>
      <c r="G191" s="2"/>
      <c r="H191" s="5">
        <f t="shared" si="7"/>
        <v>1042.3246398095714</v>
      </c>
      <c r="I191" s="5">
        <f t="shared" si="8"/>
        <v>-636.38979071464723</v>
      </c>
      <c r="J191" s="5">
        <f>ROUNDDOWN(INDEX(ログ!S:S,$F$11+ROW(A190)-1) * $F$8,0)</f>
        <v>-8</v>
      </c>
      <c r="K191" s="5"/>
    </row>
    <row r="192" spans="1:11">
      <c r="A192" t="str">
        <f>INDEX(ログ!A:A,$F$11+ROW(A191)-1)</f>
        <v xml:space="preserve">  3 :  0  0  1</v>
      </c>
      <c r="B192" s="6">
        <f>INDEX(ログ!N:N,$F$11+ROW(A191)-1)*$G$5</f>
        <v>12.095131716320703</v>
      </c>
      <c r="C192" s="6">
        <f t="shared" si="6"/>
        <v>10.194468160898879</v>
      </c>
      <c r="D192" s="6">
        <f>SUBSTITUTE(INDEX(ログ!P:P,$F$11+ROW(A191)-1),":","")*$G$5</f>
        <v>8.2938046054770531</v>
      </c>
      <c r="E192" s="4"/>
      <c r="F192" s="2"/>
      <c r="G192" s="2"/>
      <c r="H192" s="5">
        <f t="shared" si="7"/>
        <v>1052.4198961071122</v>
      </c>
      <c r="I192" s="5">
        <f t="shared" si="8"/>
        <v>-637.80858646123818</v>
      </c>
      <c r="J192" s="5">
        <f>ROUNDDOWN(INDEX(ログ!S:S,$F$11+ROW(A191)-1) * $F$8,0)</f>
        <v>-8</v>
      </c>
      <c r="K192" s="5"/>
    </row>
    <row r="193" spans="1:11">
      <c r="A193" t="str">
        <f>INDEX(ログ!A:A,$F$11+ROW(A192)-1)</f>
        <v xml:space="preserve">  3 :  0  0  1</v>
      </c>
      <c r="B193" s="6">
        <f>INDEX(ログ!N:N,$F$11+ROW(A192)-1)*$G$5</f>
        <v>6.9115038378975449</v>
      </c>
      <c r="C193" s="6">
        <f t="shared" si="6"/>
        <v>8.1210170095296164</v>
      </c>
      <c r="D193" s="6">
        <f>SUBSTITUTE(INDEX(ログ!P:P,$F$11+ROW(A192)-1),":","")*$G$5</f>
        <v>9.3305301811616861</v>
      </c>
      <c r="E193" s="4"/>
      <c r="F193" s="2"/>
      <c r="G193" s="2"/>
      <c r="H193" s="5">
        <f t="shared" si="7"/>
        <v>1060.4618799373566</v>
      </c>
      <c r="I193" s="5">
        <f t="shared" si="8"/>
        <v>-638.93881358140391</v>
      </c>
      <c r="J193" s="5">
        <f>ROUNDDOWN(INDEX(ログ!S:S,$F$11+ROW(A192)-1) * $F$8,0)</f>
        <v>-8</v>
      </c>
      <c r="K193" s="5"/>
    </row>
    <row r="194" spans="1:11">
      <c r="A194" t="str">
        <f>INDEX(ログ!A:A,$F$11+ROW(A193)-1)</f>
        <v xml:space="preserve">  3 :  0  0  1</v>
      </c>
      <c r="B194" s="6">
        <f>INDEX(ログ!N:N,$F$11+ROW(A193)-1)*$G$5</f>
        <v>5.5292030703180357</v>
      </c>
      <c r="C194" s="6">
        <f t="shared" si="6"/>
        <v>6.2203534541077907</v>
      </c>
      <c r="D194" s="6">
        <f>SUBSTITUTE(INDEX(ログ!P:P,$F$11+ROW(A193)-1),":","")*$G$5</f>
        <v>6.9115038378975449</v>
      </c>
      <c r="E194" s="4"/>
      <c r="F194" s="2"/>
      <c r="G194" s="2"/>
      <c r="H194" s="5">
        <f t="shared" si="7"/>
        <v>1066.6216973392459</v>
      </c>
      <c r="I194" s="5">
        <f t="shared" si="8"/>
        <v>-639.80451946067978</v>
      </c>
      <c r="J194" s="5">
        <f>ROUNDDOWN(INDEX(ログ!S:S,$F$11+ROW(A193)-1) * $F$8,0)</f>
        <v>-8</v>
      </c>
      <c r="K194" s="5"/>
    </row>
    <row r="195" spans="1:11">
      <c r="A195" t="str">
        <f>INDEX(ログ!A:A,$F$11+ROW(A194)-1)</f>
        <v xml:space="preserve">  3 :  0  0  1</v>
      </c>
      <c r="B195" s="6">
        <f>INDEX(ログ!N:N,$F$11+ROW(A194)-1)*$G$5</f>
        <v>4.4924774946334036</v>
      </c>
      <c r="C195" s="6">
        <f t="shared" ref="C195:C258" si="9">(B195+D195)/2</f>
        <v>5.1836278784231578</v>
      </c>
      <c r="D195" s="6">
        <f>SUBSTITUTE(INDEX(ログ!P:P,$F$11+ROW(A194)-1),":","")*$G$5</f>
        <v>5.8747782622129128</v>
      </c>
      <c r="E195" s="4"/>
      <c r="F195" s="2"/>
      <c r="G195" s="2"/>
      <c r="H195" s="5">
        <f t="shared" si="7"/>
        <v>1071.7548785074869</v>
      </c>
      <c r="I195" s="5">
        <f t="shared" si="8"/>
        <v>-640.525941026743</v>
      </c>
      <c r="J195" s="5">
        <f>ROUNDDOWN(INDEX(ログ!S:S,$F$11+ROW(A194)-1) * $F$8,0)</f>
        <v>-8</v>
      </c>
      <c r="K195" s="5"/>
    </row>
    <row r="196" spans="1:11">
      <c r="A196" t="str">
        <f>INDEX(ログ!A:A,$F$11+ROW(A195)-1)</f>
        <v xml:space="preserve">  3 :  0  0  1</v>
      </c>
      <c r="B196" s="6">
        <f>INDEX(ログ!N:N,$F$11+ROW(A195)-1)*$G$5</f>
        <v>13.477432483900213</v>
      </c>
      <c r="C196" s="6">
        <f t="shared" si="9"/>
        <v>13.304644887952774</v>
      </c>
      <c r="D196" s="6">
        <f>SUBSTITUTE(INDEX(ログ!P:P,$F$11+ROW(A195)-1),":","")*$G$5</f>
        <v>13.131857292005336</v>
      </c>
      <c r="E196" s="4"/>
      <c r="F196" s="2"/>
      <c r="G196" s="2"/>
      <c r="H196" s="5">
        <f t="shared" ref="H196:H254" si="10">H195+(C196*COS(RADIANS(J195)))</f>
        <v>1084.9300435059722</v>
      </c>
      <c r="I196" s="5">
        <f t="shared" ref="I196:I254" si="11">I195+(C196*SIN(RADIANS(J195)))</f>
        <v>-642.37758971297183</v>
      </c>
      <c r="J196" s="5">
        <f>ROUNDDOWN(INDEX(ログ!S:S,$F$11+ROW(A195)-1) * $F$8,0)</f>
        <v>-8</v>
      </c>
      <c r="K196" s="5"/>
    </row>
    <row r="197" spans="1:11">
      <c r="A197" t="str">
        <f>INDEX(ログ!A:A,$F$11+ROW(A196)-1)</f>
        <v xml:space="preserve">  3 :  0  0  1</v>
      </c>
      <c r="B197" s="6">
        <f>INDEX(ログ!N:N,$F$11+ROW(A196)-1)*$G$5</f>
        <v>12.44070690821558</v>
      </c>
      <c r="C197" s="6">
        <f t="shared" si="9"/>
        <v>12.095131716320703</v>
      </c>
      <c r="D197" s="6">
        <f>SUBSTITUTE(INDEX(ログ!P:P,$F$11+ROW(A196)-1),":","")*$G$5</f>
        <v>11.749556524425826</v>
      </c>
      <c r="E197" s="4"/>
      <c r="F197" s="2"/>
      <c r="G197" s="2"/>
      <c r="H197" s="5">
        <f t="shared" si="10"/>
        <v>1096.9074662318681</v>
      </c>
      <c r="I197" s="5">
        <f t="shared" si="11"/>
        <v>-644.06090670045262</v>
      </c>
      <c r="J197" s="5">
        <f>ROUNDDOWN(INDEX(ログ!S:S,$F$11+ROW(A196)-1) * $F$8,0)</f>
        <v>-6</v>
      </c>
      <c r="K197" s="5"/>
    </row>
    <row r="198" spans="1:11">
      <c r="A198" t="str">
        <f>INDEX(ログ!A:A,$F$11+ROW(A197)-1)</f>
        <v xml:space="preserve">  3 :  0  0  1</v>
      </c>
      <c r="B198" s="6">
        <f>INDEX(ログ!N:N,$F$11+ROW(A197)-1)*$G$5</f>
        <v>11.403981332530948</v>
      </c>
      <c r="C198" s="6">
        <f t="shared" si="9"/>
        <v>9.1577425852142476</v>
      </c>
      <c r="D198" s="6">
        <f>SUBSTITUTE(INDEX(ログ!P:P,$F$11+ROW(A197)-1),":","")*$G$5</f>
        <v>6.9115038378975449</v>
      </c>
      <c r="E198" s="4"/>
      <c r="F198" s="2"/>
      <c r="G198" s="2"/>
      <c r="H198" s="5">
        <f t="shared" si="10"/>
        <v>1106.01504174501</v>
      </c>
      <c r="I198" s="5">
        <f t="shared" si="11"/>
        <v>-645.01815145988576</v>
      </c>
      <c r="J198" s="5">
        <f>ROUNDDOWN(INDEX(ログ!S:S,$F$11+ROW(A197)-1) * $F$8,0)</f>
        <v>-6</v>
      </c>
      <c r="K198" s="5"/>
    </row>
    <row r="199" spans="1:11">
      <c r="A199" t="str">
        <f>INDEX(ログ!A:A,$F$11+ROW(A198)-1)</f>
        <v xml:space="preserve">  3 :  0  0  1</v>
      </c>
      <c r="B199" s="6">
        <f>INDEX(ログ!N:N,$F$11+ROW(A198)-1)*$G$5</f>
        <v>10.02168056495144</v>
      </c>
      <c r="C199" s="6">
        <f t="shared" si="9"/>
        <v>8.9849549892668072</v>
      </c>
      <c r="D199" s="6">
        <f>SUBSTITUTE(INDEX(ログ!P:P,$F$11+ROW(A198)-1),":","")*$G$5</f>
        <v>7.9482294135821761</v>
      </c>
      <c r="E199" s="4"/>
      <c r="F199" s="2"/>
      <c r="G199" s="2"/>
      <c r="H199" s="5">
        <f t="shared" si="10"/>
        <v>1114.9507762107341</v>
      </c>
      <c r="I199" s="5">
        <f t="shared" si="11"/>
        <v>-645.9573349974429</v>
      </c>
      <c r="J199" s="5">
        <f>ROUNDDOWN(INDEX(ログ!S:S,$F$11+ROW(A198)-1) * $F$8,0)</f>
        <v>-6</v>
      </c>
      <c r="K199" s="5"/>
    </row>
    <row r="200" spans="1:11">
      <c r="A200" t="str">
        <f>INDEX(ログ!A:A,$F$11+ROW(A199)-1)</f>
        <v xml:space="preserve">  3 :  0  0  1</v>
      </c>
      <c r="B200" s="6">
        <f>INDEX(ログ!N:N,$F$11+ROW(A199)-1)*$G$5</f>
        <v>20.388936321797758</v>
      </c>
      <c r="C200" s="6">
        <f t="shared" si="9"/>
        <v>15.205308443374598</v>
      </c>
      <c r="D200" s="6">
        <f>SUBSTITUTE(INDEX(ログ!P:P,$F$11+ROW(A199)-1),":","")*$G$5</f>
        <v>10.02168056495144</v>
      </c>
      <c r="E200" s="4"/>
      <c r="F200" s="2"/>
      <c r="G200" s="2"/>
      <c r="H200" s="5">
        <f t="shared" si="10"/>
        <v>1130.0727883834982</v>
      </c>
      <c r="I200" s="5">
        <f t="shared" si="11"/>
        <v>-647.54672252253954</v>
      </c>
      <c r="J200" s="5">
        <f>ROUNDDOWN(INDEX(ログ!S:S,$F$11+ROW(A199)-1) * $F$8,0)</f>
        <v>-6</v>
      </c>
      <c r="K200" s="5"/>
    </row>
    <row r="201" spans="1:11">
      <c r="A201" t="str">
        <f>INDEX(ログ!A:A,$F$11+ROW(A200)-1)</f>
        <v xml:space="preserve">  3 :  0  0  1</v>
      </c>
      <c r="B201" s="6">
        <f>INDEX(ログ!N:N,$F$11+ROW(A200)-1)*$G$5</f>
        <v>22.46238747316702</v>
      </c>
      <c r="C201" s="6">
        <f t="shared" si="9"/>
        <v>12.095131716320703</v>
      </c>
      <c r="D201" s="6">
        <f>SUBSTITUTE(INDEX(ログ!P:P,$F$11+ROW(A200)-1),":","")*$G$5</f>
        <v>1.7278759594743862</v>
      </c>
      <c r="E201" s="4"/>
      <c r="F201" s="2"/>
      <c r="G201" s="2"/>
      <c r="H201" s="5">
        <f t="shared" si="10"/>
        <v>1142.1016617027424</v>
      </c>
      <c r="I201" s="5">
        <f t="shared" si="11"/>
        <v>-648.81100805386643</v>
      </c>
      <c r="J201" s="5">
        <f>ROUNDDOWN(INDEX(ログ!S:S,$F$11+ROW(A200)-1) * $F$8,0)</f>
        <v>-6</v>
      </c>
      <c r="K201" s="5"/>
    </row>
    <row r="202" spans="1:11">
      <c r="A202" t="str">
        <f>INDEX(ログ!A:A,$F$11+ROW(A201)-1)</f>
        <v xml:space="preserve">  3 :  0  0  1</v>
      </c>
      <c r="B202" s="6">
        <f>INDEX(ログ!N:N,$F$11+ROW(A201)-1)*$G$5</f>
        <v>27.300440159695302</v>
      </c>
      <c r="C202" s="6">
        <f t="shared" si="9"/>
        <v>17.27875959474386</v>
      </c>
      <c r="D202" s="6">
        <f>SUBSTITUTE(INDEX(ログ!P:P,$F$11+ROW(A201)-1),":","")*$G$5</f>
        <v>7.2570790297924219</v>
      </c>
      <c r="E202" s="4"/>
      <c r="F202" s="2"/>
      <c r="G202" s="2"/>
      <c r="H202" s="5">
        <f t="shared" si="10"/>
        <v>1159.2857664445198</v>
      </c>
      <c r="I202" s="5">
        <f t="shared" si="11"/>
        <v>-650.61713024147627</v>
      </c>
      <c r="J202" s="5">
        <f>ROUNDDOWN(INDEX(ログ!S:S,$F$11+ROW(A201)-1) * $F$8,0)</f>
        <v>-4</v>
      </c>
      <c r="K202" s="5"/>
    </row>
    <row r="203" spans="1:11">
      <c r="A203" t="str">
        <f>INDEX(ログ!A:A,$F$11+ROW(A202)-1)</f>
        <v xml:space="preserve">  3 :  0  0  1</v>
      </c>
      <c r="B203" s="6">
        <f>INDEX(ログ!N:N,$F$11+ROW(A202)-1)*$G$5</f>
        <v>21.771237089377266</v>
      </c>
      <c r="C203" s="6">
        <f t="shared" si="9"/>
        <v>10.540043352793756</v>
      </c>
      <c r="D203" s="6">
        <f>SUBSTITUTE(INDEX(ログ!P:P,$F$11+ROW(A202)-1),":","")*$G$5</f>
        <v>-0.69115038378975446</v>
      </c>
      <c r="E203" s="4"/>
      <c r="F203" s="2"/>
      <c r="G203" s="2"/>
      <c r="H203" s="5">
        <f t="shared" si="10"/>
        <v>1169.8001347814468</v>
      </c>
      <c r="I203" s="5">
        <f t="shared" si="11"/>
        <v>-651.35236649887736</v>
      </c>
      <c r="J203" s="5">
        <f>ROUNDDOWN(INDEX(ログ!S:S,$F$11+ROW(A202)-1) * $F$8,0)</f>
        <v>-4</v>
      </c>
      <c r="K203" s="5"/>
    </row>
    <row r="204" spans="1:11">
      <c r="A204" t="str">
        <f>INDEX(ログ!A:A,$F$11+ROW(A203)-1)</f>
        <v xml:space="preserve">  3 :  0  0  1</v>
      </c>
      <c r="B204" s="6">
        <f>INDEX(ログ!N:N,$F$11+ROW(A203)-1)*$G$5</f>
        <v>23.844688240746528</v>
      </c>
      <c r="C204" s="6">
        <f t="shared" si="9"/>
        <v>14.341370463637405</v>
      </c>
      <c r="D204" s="6">
        <f>SUBSTITUTE(INDEX(ログ!P:P,$F$11+ROW(A203)-1),":","")*$G$5</f>
        <v>4.8380526865282816</v>
      </c>
      <c r="E204" s="4"/>
      <c r="F204" s="2"/>
      <c r="G204" s="2"/>
      <c r="H204" s="5">
        <f t="shared" si="10"/>
        <v>1184.1065703874294</v>
      </c>
      <c r="I204" s="5">
        <f t="shared" si="11"/>
        <v>-652.35276993107891</v>
      </c>
      <c r="J204" s="5">
        <f>ROUNDDOWN(INDEX(ログ!S:S,$F$11+ROW(A203)-1) * $F$8,0)</f>
        <v>-4</v>
      </c>
      <c r="K204" s="5"/>
    </row>
    <row r="205" spans="1:11">
      <c r="A205" t="str">
        <f>INDEX(ログ!A:A,$F$11+ROW(A204)-1)</f>
        <v xml:space="preserve">  3 :  0  0  1</v>
      </c>
      <c r="B205" s="6">
        <f>INDEX(ログ!N:N,$F$11+ROW(A204)-1)*$G$5</f>
        <v>22.807962665061897</v>
      </c>
      <c r="C205" s="6">
        <f t="shared" si="9"/>
        <v>13.304644887952772</v>
      </c>
      <c r="D205" s="6">
        <f>SUBSTITUTE(INDEX(ログ!P:P,$F$11+ROW(A204)-1),":","")*$G$5</f>
        <v>3.8013271108436495</v>
      </c>
      <c r="E205" s="4"/>
      <c r="F205" s="2"/>
      <c r="G205" s="2"/>
      <c r="H205" s="5">
        <f t="shared" si="10"/>
        <v>1197.3788058291243</v>
      </c>
      <c r="I205" s="5">
        <f t="shared" si="11"/>
        <v>-653.28085504288026</v>
      </c>
      <c r="J205" s="5">
        <f>ROUNDDOWN(INDEX(ログ!S:S,$F$11+ROW(A204)-1) * $F$8,0)</f>
        <v>-4</v>
      </c>
      <c r="K205" s="5"/>
    </row>
    <row r="206" spans="1:11">
      <c r="A206" t="str">
        <f>INDEX(ログ!A:A,$F$11+ROW(A205)-1)</f>
        <v xml:space="preserve">  3 :  0  0  1</v>
      </c>
      <c r="B206" s="6">
        <f>INDEX(ログ!N:N,$F$11+ROW(A205)-1)*$G$5</f>
        <v>22.116812281272143</v>
      </c>
      <c r="C206" s="6">
        <f t="shared" si="9"/>
        <v>11.403981332530948</v>
      </c>
      <c r="D206" s="6">
        <f>SUBSTITUTE(INDEX(ログ!P:P,$F$11+ROW(A205)-1),":","")*$G$5</f>
        <v>0.69115038378975446</v>
      </c>
      <c r="E206" s="4"/>
      <c r="F206" s="2"/>
      <c r="G206" s="2"/>
      <c r="H206" s="5">
        <f t="shared" si="10"/>
        <v>1208.7550076362913</v>
      </c>
      <c r="I206" s="5">
        <f t="shared" si="11"/>
        <v>-654.07635656728144</v>
      </c>
      <c r="J206" s="5">
        <f>ROUNDDOWN(INDEX(ログ!S:S,$F$11+ROW(A205)-1) * $F$8,0)</f>
        <v>-4</v>
      </c>
      <c r="K206" s="5"/>
    </row>
    <row r="207" spans="1:11">
      <c r="A207" t="str">
        <f>INDEX(ログ!A:A,$F$11+ROW(A206)-1)</f>
        <v xml:space="preserve">  3 :  0  0  1</v>
      </c>
      <c r="B207" s="6">
        <f>INDEX(ログ!N:N,$F$11+ROW(A206)-1)*$G$5</f>
        <v>25.918139392115794</v>
      </c>
      <c r="C207" s="6">
        <f t="shared" si="9"/>
        <v>17.105971998796424</v>
      </c>
      <c r="D207" s="6">
        <f>SUBSTITUTE(INDEX(ログ!P:P,$F$11+ROW(A206)-1),":","")*$G$5</f>
        <v>8.2938046054770531</v>
      </c>
      <c r="E207" s="4"/>
      <c r="F207" s="2"/>
      <c r="G207" s="2"/>
      <c r="H207" s="5">
        <f t="shared" si="10"/>
        <v>1225.8193103470419</v>
      </c>
      <c r="I207" s="5">
        <f t="shared" si="11"/>
        <v>-655.26960885388326</v>
      </c>
      <c r="J207" s="5">
        <f>ROUNDDOWN(INDEX(ログ!S:S,$F$11+ROW(A206)-1) * $F$8,0)</f>
        <v>-4</v>
      </c>
      <c r="K207" s="5"/>
    </row>
    <row r="208" spans="1:11">
      <c r="A208" t="str">
        <f>INDEX(ログ!A:A,$F$11+ROW(A207)-1)</f>
        <v xml:space="preserve">  3 :  0  0  1</v>
      </c>
      <c r="B208" s="6">
        <f>INDEX(ログ!N:N,$F$11+ROW(A207)-1)*$G$5</f>
        <v>21.425661897482389</v>
      </c>
      <c r="C208" s="6">
        <f t="shared" si="9"/>
        <v>9.3305301811616861</v>
      </c>
      <c r="D208" s="6">
        <f>SUBSTITUTE(INDEX(ログ!P:P,$F$11+ROW(A207)-1),":","")*$G$5</f>
        <v>-2.7646015351590179</v>
      </c>
      <c r="E208" s="4"/>
      <c r="F208" s="2"/>
      <c r="G208" s="2"/>
      <c r="H208" s="5">
        <f t="shared" si="10"/>
        <v>1235.1271118256332</v>
      </c>
      <c r="I208" s="5">
        <f t="shared" si="11"/>
        <v>-655.92047373748426</v>
      </c>
      <c r="J208" s="5">
        <f>ROUNDDOWN(INDEX(ログ!S:S,$F$11+ROW(A207)-1) * $F$8,0)</f>
        <v>-2</v>
      </c>
      <c r="K208" s="5"/>
    </row>
    <row r="209" spans="1:11">
      <c r="A209" t="str">
        <f>INDEX(ログ!A:A,$F$11+ROW(A208)-1)</f>
        <v xml:space="preserve">  3 :  0  0  1</v>
      </c>
      <c r="B209" s="6">
        <f>INDEX(ログ!N:N,$F$11+ROW(A208)-1)*$G$5</f>
        <v>17.969909978533614</v>
      </c>
      <c r="C209" s="6">
        <f t="shared" si="9"/>
        <v>13.995795271742526</v>
      </c>
      <c r="D209" s="6">
        <f>SUBSTITUTE(INDEX(ログ!P:P,$F$11+ROW(A208)-1),":","")*$G$5</f>
        <v>10.02168056495144</v>
      </c>
      <c r="E209" s="4"/>
      <c r="F209" s="2"/>
      <c r="G209" s="2"/>
      <c r="H209" s="5">
        <f t="shared" si="10"/>
        <v>1249.1143812370499</v>
      </c>
      <c r="I209" s="5">
        <f t="shared" si="11"/>
        <v>-656.40891994841934</v>
      </c>
      <c r="J209" s="5">
        <f>ROUNDDOWN(INDEX(ログ!S:S,$F$11+ROW(A208)-1) * $F$8,0)</f>
        <v>-4</v>
      </c>
      <c r="K209" s="5"/>
    </row>
    <row r="210" spans="1:11">
      <c r="A210" t="str">
        <f>INDEX(ログ!A:A,$F$11+ROW(A209)-1)</f>
        <v xml:space="preserve">  3 :  0  0  1</v>
      </c>
      <c r="B210" s="6">
        <f>INDEX(ログ!N:N,$F$11+ROW(A209)-1)*$G$5</f>
        <v>12.44070690821558</v>
      </c>
      <c r="C210" s="6">
        <f t="shared" si="9"/>
        <v>6.911503837897544</v>
      </c>
      <c r="D210" s="6">
        <f>SUBSTITUTE(INDEX(ログ!P:P,$F$11+ROW(A209)-1),":","")*$G$5</f>
        <v>1.3823007675795089</v>
      </c>
      <c r="E210" s="4"/>
      <c r="F210" s="2"/>
      <c r="G210" s="2"/>
      <c r="H210" s="5">
        <f t="shared" si="10"/>
        <v>1256.0090489989693</v>
      </c>
      <c r="I210" s="5">
        <f t="shared" si="11"/>
        <v>-656.89104208442006</v>
      </c>
      <c r="J210" s="5">
        <f>ROUNDDOWN(INDEX(ログ!S:S,$F$11+ROW(A209)-1) * $F$8,0)</f>
        <v>-4</v>
      </c>
      <c r="K210" s="5"/>
    </row>
    <row r="211" spans="1:11">
      <c r="A211" t="str">
        <f>INDEX(ログ!A:A,$F$11+ROW(A210)-1)</f>
        <v xml:space="preserve">  3 :  0  0  1</v>
      </c>
      <c r="B211" s="6">
        <f>INDEX(ログ!N:N,$F$11+ROW(A210)-1)*$G$5</f>
        <v>24.535838624536282</v>
      </c>
      <c r="C211" s="6">
        <f t="shared" si="9"/>
        <v>16.933184402848983</v>
      </c>
      <c r="D211" s="6">
        <f>SUBSTITUTE(INDEX(ログ!P:P,$F$11+ROW(A210)-1),":","")*$G$5</f>
        <v>9.3305301811616861</v>
      </c>
      <c r="E211" s="4"/>
      <c r="F211" s="2"/>
      <c r="G211" s="2"/>
      <c r="H211" s="5">
        <f t="shared" si="10"/>
        <v>1272.9009850156717</v>
      </c>
      <c r="I211" s="5">
        <f t="shared" si="11"/>
        <v>-658.07224131762189</v>
      </c>
      <c r="J211" s="5">
        <f>ROUNDDOWN(INDEX(ログ!S:S,$F$11+ROW(A210)-1) * $F$8,0)</f>
        <v>-4</v>
      </c>
      <c r="K211" s="5"/>
    </row>
    <row r="212" spans="1:11">
      <c r="A212" t="str">
        <f>INDEX(ログ!A:A,$F$11+ROW(A211)-1)</f>
        <v xml:space="preserve">  3 :  0  0  1</v>
      </c>
      <c r="B212" s="6">
        <f>INDEX(ログ!N:N,$F$11+ROW(A211)-1)*$G$5</f>
        <v>17.969909978533614</v>
      </c>
      <c r="C212" s="6">
        <f t="shared" si="9"/>
        <v>9.8488929690039999</v>
      </c>
      <c r="D212" s="6">
        <f>SUBSTITUTE(INDEX(ログ!P:P,$F$11+ROW(A211)-1),":","")*$G$5</f>
        <v>1.7278759594743862</v>
      </c>
      <c r="E212" s="4"/>
      <c r="F212" s="2"/>
      <c r="G212" s="2"/>
      <c r="H212" s="5">
        <f t="shared" si="10"/>
        <v>1282.7258865764068</v>
      </c>
      <c r="I212" s="5">
        <f t="shared" si="11"/>
        <v>-658.75926536142288</v>
      </c>
      <c r="J212" s="5">
        <f>ROUNDDOWN(INDEX(ログ!S:S,$F$11+ROW(A211)-1) * $F$8,0)</f>
        <v>-6</v>
      </c>
      <c r="K212" s="5"/>
    </row>
    <row r="213" spans="1:11">
      <c r="A213" t="str">
        <f>INDEX(ログ!A:A,$F$11+ROW(A212)-1)</f>
        <v xml:space="preserve">  3 :  0  0  1</v>
      </c>
      <c r="B213" s="6">
        <f>INDEX(ログ!N:N,$F$11+ROW(A212)-1)*$G$5</f>
        <v>20.04336112990288</v>
      </c>
      <c r="C213" s="6">
        <f t="shared" si="9"/>
        <v>15.550883635269475</v>
      </c>
      <c r="D213" s="6">
        <f>SUBSTITUTE(INDEX(ログ!P:P,$F$11+ROW(A212)-1),":","")*$G$5</f>
        <v>11.058406140636071</v>
      </c>
      <c r="E213" s="4"/>
      <c r="F213" s="2"/>
      <c r="G213" s="2"/>
      <c r="H213" s="5">
        <f t="shared" si="10"/>
        <v>1298.1915808440065</v>
      </c>
      <c r="I213" s="5">
        <f t="shared" si="11"/>
        <v>-660.38477533027174</v>
      </c>
      <c r="J213" s="5">
        <f>ROUNDDOWN(INDEX(ログ!S:S,$F$11+ROW(A212)-1) * $F$8,0)</f>
        <v>-8</v>
      </c>
      <c r="K213" s="5"/>
    </row>
    <row r="214" spans="1:11">
      <c r="A214" t="str">
        <f>INDEX(ログ!A:A,$F$11+ROW(A213)-1)</f>
        <v xml:space="preserve">  3 :  0  0  1</v>
      </c>
      <c r="B214" s="6">
        <f>INDEX(ログ!N:N,$F$11+ROW(A213)-1)*$G$5</f>
        <v>12.095131716320703</v>
      </c>
      <c r="C214" s="6">
        <f t="shared" si="9"/>
        <v>7.9482294135821761</v>
      </c>
      <c r="D214" s="6">
        <f>SUBSTITUTE(INDEX(ログ!P:P,$F$11+ROW(A213)-1),":","")*$G$5</f>
        <v>3.8013271108436495</v>
      </c>
      <c r="E214" s="4"/>
      <c r="F214" s="2"/>
      <c r="G214" s="2"/>
      <c r="H214" s="5">
        <f t="shared" si="10"/>
        <v>1306.0624586353094</v>
      </c>
      <c r="I214" s="5">
        <f t="shared" si="11"/>
        <v>-661.49095506490198</v>
      </c>
      <c r="J214" s="5">
        <f>ROUNDDOWN(INDEX(ログ!S:S,$F$11+ROW(A213)-1) * $F$8,0)</f>
        <v>-10</v>
      </c>
      <c r="K214" s="5"/>
    </row>
    <row r="215" spans="1:11">
      <c r="A215" t="str">
        <f>INDEX(ログ!A:A,$F$11+ROW(A214)-1)</f>
        <v xml:space="preserve">  3 :  0  0  1</v>
      </c>
      <c r="B215" s="6">
        <f>INDEX(ログ!N:N,$F$11+ROW(A214)-1)*$G$5</f>
        <v>3.4557519189487724</v>
      </c>
      <c r="C215" s="6">
        <f t="shared" si="9"/>
        <v>1.7278759594743862</v>
      </c>
      <c r="D215" s="6">
        <f>SUBSTITUTE(INDEX(ログ!P:P,$F$11+ROW(A214)-1),":","")*$G$5</f>
        <v>0</v>
      </c>
      <c r="E215" s="4"/>
      <c r="F215" s="2"/>
      <c r="G215" s="2"/>
      <c r="H215" s="5">
        <f t="shared" si="10"/>
        <v>1307.7640842764433</v>
      </c>
      <c r="I215" s="5">
        <f t="shared" si="11"/>
        <v>-661.79099757649919</v>
      </c>
      <c r="J215" s="5">
        <f>ROUNDDOWN(INDEX(ログ!S:S,$F$11+ROW(A214)-1) * $F$8,0)</f>
        <v>-12</v>
      </c>
      <c r="K215" s="5"/>
    </row>
    <row r="216" spans="1:11">
      <c r="A216" t="str">
        <f>INDEX(ログ!A:A,$F$11+ROW(A215)-1)</f>
        <v xml:space="preserve">  3 :  0  0  1</v>
      </c>
      <c r="B216" s="6">
        <f>INDEX(ログ!N:N,$F$11+ROW(A215)-1)*$G$5</f>
        <v>18.661060362323372</v>
      </c>
      <c r="C216" s="6">
        <f t="shared" si="9"/>
        <v>12.267919312268143</v>
      </c>
      <c r="D216" s="6">
        <f>SUBSTITUTE(INDEX(ログ!P:P,$F$11+ROW(A215)-1),":","")*$G$5</f>
        <v>5.8747782622129128</v>
      </c>
      <c r="E216" s="4"/>
      <c r="F216" s="2"/>
      <c r="G216" s="2"/>
      <c r="H216" s="5">
        <f t="shared" si="10"/>
        <v>1319.7639201177344</v>
      </c>
      <c r="I216" s="5">
        <f t="shared" si="11"/>
        <v>-664.3416414235287</v>
      </c>
      <c r="J216" s="5">
        <f>ROUNDDOWN(INDEX(ログ!S:S,$F$11+ROW(A215)-1) * $F$8,0)</f>
        <v>-10</v>
      </c>
      <c r="K216" s="5"/>
    </row>
    <row r="217" spans="1:11">
      <c r="A217" t="str">
        <f>INDEX(ログ!A:A,$F$11+ROW(A216)-1)</f>
        <v xml:space="preserve">  3 :  0  0  1</v>
      </c>
      <c r="B217" s="6">
        <f>INDEX(ログ!N:N,$F$11+ROW(A216)-1)*$G$5</f>
        <v>22.807962665061897</v>
      </c>
      <c r="C217" s="6">
        <f t="shared" si="9"/>
        <v>12.44070690821558</v>
      </c>
      <c r="D217" s="6">
        <f>SUBSTITUTE(INDEX(ログ!P:P,$F$11+ROW(A216)-1),":","")*$G$5</f>
        <v>2.0734511513692633</v>
      </c>
      <c r="E217" s="4"/>
      <c r="F217" s="2"/>
      <c r="G217" s="2"/>
      <c r="H217" s="5">
        <f t="shared" si="10"/>
        <v>1332.0156247338978</v>
      </c>
      <c r="I217" s="5">
        <f t="shared" si="11"/>
        <v>-666.50194750702872</v>
      </c>
      <c r="J217" s="5">
        <f>ROUNDDOWN(INDEX(ログ!S:S,$F$11+ROW(A216)-1) * $F$8,0)</f>
        <v>-8</v>
      </c>
      <c r="K217" s="5"/>
    </row>
    <row r="218" spans="1:11">
      <c r="A218" t="str">
        <f>INDEX(ログ!A:A,$F$11+ROW(A217)-1)</f>
        <v xml:space="preserve">  3 :  0  0  1</v>
      </c>
      <c r="B218" s="6">
        <f>INDEX(ログ!N:N,$F$11+ROW(A217)-1)*$G$5</f>
        <v>13.131857292005336</v>
      </c>
      <c r="C218" s="6">
        <f t="shared" si="9"/>
        <v>8.1210170095296146</v>
      </c>
      <c r="D218" s="6">
        <f>SUBSTITUTE(INDEX(ログ!P:P,$F$11+ROW(A217)-1),":","")*$G$5</f>
        <v>3.1101767270538949</v>
      </c>
      <c r="E218" s="4"/>
      <c r="F218" s="2"/>
      <c r="G218" s="2"/>
      <c r="H218" s="5">
        <f t="shared" si="10"/>
        <v>1340.0576085641421</v>
      </c>
      <c r="I218" s="5">
        <f t="shared" si="11"/>
        <v>-667.63217462719444</v>
      </c>
      <c r="J218" s="5">
        <f>ROUNDDOWN(INDEX(ログ!S:S,$F$11+ROW(A217)-1) * $F$8,0)</f>
        <v>-8</v>
      </c>
      <c r="K218" s="5"/>
    </row>
    <row r="219" spans="1:11">
      <c r="A219" t="str">
        <f>INDEX(ログ!A:A,$F$11+ROW(A218)-1)</f>
        <v xml:space="preserve">  3 :  0  0  1</v>
      </c>
      <c r="B219" s="6">
        <f>INDEX(ログ!N:N,$F$11+ROW(A218)-1)*$G$5</f>
        <v>10.02168056495144</v>
      </c>
      <c r="C219" s="6">
        <f t="shared" si="9"/>
        <v>8.1210170095296146</v>
      </c>
      <c r="D219" s="6">
        <f>SUBSTITUTE(INDEX(ログ!P:P,$F$11+ROW(A218)-1),":","")*$G$5</f>
        <v>6.2203534541077898</v>
      </c>
      <c r="E219" s="4"/>
      <c r="F219" s="2"/>
      <c r="G219" s="2"/>
      <c r="H219" s="5">
        <f t="shared" si="10"/>
        <v>1348.0995923943865</v>
      </c>
      <c r="I219" s="5">
        <f t="shared" si="11"/>
        <v>-668.76240174736017</v>
      </c>
      <c r="J219" s="5">
        <f>ROUNDDOWN(INDEX(ログ!S:S,$F$11+ROW(A218)-1) * $F$8,0)</f>
        <v>-10</v>
      </c>
      <c r="K219" s="5"/>
    </row>
    <row r="220" spans="1:11">
      <c r="A220" t="str">
        <f>INDEX(ログ!A:A,$F$11+ROW(A219)-1)</f>
        <v xml:space="preserve">  3 :  0  0  1</v>
      </c>
      <c r="B220" s="6">
        <f>INDEX(ログ!N:N,$F$11+ROW(A219)-1)*$G$5</f>
        <v>20.734511513692635</v>
      </c>
      <c r="C220" s="6">
        <f t="shared" si="9"/>
        <v>17.624334786638741</v>
      </c>
      <c r="D220" s="6">
        <f>SUBSTITUTE(INDEX(ログ!P:P,$F$11+ROW(A219)-1),":","")*$G$5</f>
        <v>14.514158059584844</v>
      </c>
      <c r="E220" s="4"/>
      <c r="F220" s="2"/>
      <c r="G220" s="2"/>
      <c r="H220" s="5">
        <f t="shared" si="10"/>
        <v>1365.456173933951</v>
      </c>
      <c r="I220" s="5">
        <f t="shared" si="11"/>
        <v>-671.82283536565183</v>
      </c>
      <c r="J220" s="5">
        <f>ROUNDDOWN(INDEX(ログ!S:S,$F$11+ROW(A219)-1) * $F$8,0)</f>
        <v>-10</v>
      </c>
      <c r="K220" s="5"/>
    </row>
    <row r="221" spans="1:11">
      <c r="A221" t="str">
        <f>INDEX(ログ!A:A,$F$11+ROW(A220)-1)</f>
        <v xml:space="preserve">  3 :  0  0  1</v>
      </c>
      <c r="B221" s="6">
        <f>INDEX(ログ!N:N,$F$11+ROW(A220)-1)*$G$5</f>
        <v>17.969909978533614</v>
      </c>
      <c r="C221" s="6">
        <f t="shared" si="9"/>
        <v>10.021680564951438</v>
      </c>
      <c r="D221" s="6">
        <f>SUBSTITUTE(INDEX(ログ!P:P,$F$11+ROW(A220)-1),":","")*$G$5</f>
        <v>2.0734511513692633</v>
      </c>
      <c r="E221" s="4"/>
      <c r="F221" s="2"/>
      <c r="G221" s="2"/>
      <c r="H221" s="5">
        <f t="shared" si="10"/>
        <v>1375.3256026525271</v>
      </c>
      <c r="I221" s="5">
        <f t="shared" si="11"/>
        <v>-673.56308193291579</v>
      </c>
      <c r="J221" s="5">
        <f>ROUNDDOWN(INDEX(ログ!S:S,$F$11+ROW(A220)-1) * $F$8,0)</f>
        <v>-10</v>
      </c>
      <c r="K221" s="5"/>
    </row>
    <row r="222" spans="1:11">
      <c r="A222" t="str">
        <f>INDEX(ログ!A:A,$F$11+ROW(A221)-1)</f>
        <v xml:space="preserve">  3 :  0  0  1</v>
      </c>
      <c r="B222" s="6">
        <f>INDEX(ログ!N:N,$F$11+ROW(A221)-1)*$G$5</f>
        <v>24.535838624536282</v>
      </c>
      <c r="C222" s="6">
        <f t="shared" si="9"/>
        <v>15.723671231216914</v>
      </c>
      <c r="D222" s="6">
        <f>SUBSTITUTE(INDEX(ログ!P:P,$F$11+ROW(A221)-1),":","")*$G$5</f>
        <v>6.9115038378975449</v>
      </c>
      <c r="E222" s="4"/>
      <c r="F222" s="2"/>
      <c r="G222" s="2"/>
      <c r="H222" s="5">
        <f t="shared" si="10"/>
        <v>1390.8103959868445</v>
      </c>
      <c r="I222" s="5">
        <f t="shared" si="11"/>
        <v>-676.29346878845058</v>
      </c>
      <c r="J222" s="5">
        <f>ROUNDDOWN(INDEX(ログ!S:S,$F$11+ROW(A221)-1) * $F$8,0)</f>
        <v>-8</v>
      </c>
      <c r="K222" s="5"/>
    </row>
    <row r="223" spans="1:11">
      <c r="A223" t="str">
        <f>INDEX(ログ!A:A,$F$11+ROW(A222)-1)</f>
        <v xml:space="preserve">  3 :  0  0  1</v>
      </c>
      <c r="B223" s="6">
        <f>INDEX(ログ!N:N,$F$11+ROW(A222)-1)*$G$5</f>
        <v>16.242034019059229</v>
      </c>
      <c r="C223" s="6">
        <f t="shared" si="9"/>
        <v>7.4298666257398605</v>
      </c>
      <c r="D223" s="6">
        <f>SUBSTITUTE(INDEX(ログ!P:P,$F$11+ROW(A222)-1),":","")*$G$5</f>
        <v>-1.3823007675795089</v>
      </c>
      <c r="E223" s="4"/>
      <c r="F223" s="2"/>
      <c r="G223" s="2"/>
      <c r="H223" s="5">
        <f t="shared" si="10"/>
        <v>1398.1679556613233</v>
      </c>
      <c r="I223" s="5">
        <f t="shared" si="11"/>
        <v>-677.32750636647449</v>
      </c>
      <c r="J223" s="5">
        <f>ROUNDDOWN(INDEX(ログ!S:S,$F$11+ROW(A222)-1) * $F$8,0)</f>
        <v>-8</v>
      </c>
      <c r="K223" s="5"/>
    </row>
    <row r="224" spans="1:11">
      <c r="A224" t="str">
        <f>INDEX(ログ!A:A,$F$11+ROW(A223)-1)</f>
        <v xml:space="preserve">  3 :  0  0  1</v>
      </c>
      <c r="B224" s="6">
        <f>INDEX(ログ!N:N,$F$11+ROW(A223)-1)*$G$5</f>
        <v>9.3305301811616861</v>
      </c>
      <c r="C224" s="6">
        <f t="shared" si="9"/>
        <v>4.665265090580843</v>
      </c>
      <c r="D224" s="6">
        <f>SUBSTITUTE(INDEX(ログ!P:P,$F$11+ROW(A223)-1),":","")*$G$5</f>
        <v>0</v>
      </c>
      <c r="E224" s="4"/>
      <c r="F224" s="2"/>
      <c r="G224" s="2"/>
      <c r="H224" s="5">
        <f t="shared" si="10"/>
        <v>1402.7878187127403</v>
      </c>
      <c r="I224" s="5">
        <f t="shared" si="11"/>
        <v>-677.97678577593138</v>
      </c>
      <c r="J224" s="5">
        <f>ROUNDDOWN(INDEX(ログ!S:S,$F$11+ROW(A223)-1) * $F$8,0)</f>
        <v>-6</v>
      </c>
      <c r="K224" s="5"/>
    </row>
    <row r="225" spans="1:11">
      <c r="A225" t="str">
        <f>INDEX(ログ!A:A,$F$11+ROW(A224)-1)</f>
        <v xml:space="preserve">  3 :  0  0  1</v>
      </c>
      <c r="B225" s="6">
        <f>INDEX(ログ!N:N,$F$11+ROW(A224)-1)*$G$5</f>
        <v>11.403981332530948</v>
      </c>
      <c r="C225" s="6">
        <f t="shared" si="9"/>
        <v>7.4298666257398605</v>
      </c>
      <c r="D225" s="6">
        <f>SUBSTITUTE(INDEX(ログ!P:P,$F$11+ROW(A224)-1),":","")*$G$5</f>
        <v>3.4557519189487724</v>
      </c>
      <c r="E225" s="4"/>
      <c r="F225" s="2"/>
      <c r="G225" s="2"/>
      <c r="H225" s="5">
        <f t="shared" si="10"/>
        <v>1410.1769837517047</v>
      </c>
      <c r="I225" s="5">
        <f t="shared" si="11"/>
        <v>-678.75341831660364</v>
      </c>
      <c r="J225" s="5">
        <f>ROUNDDOWN(INDEX(ログ!S:S,$F$11+ROW(A224)-1) * $F$8,0)</f>
        <v>-6</v>
      </c>
      <c r="K225" s="5"/>
    </row>
    <row r="226" spans="1:11">
      <c r="A226" t="str">
        <f>INDEX(ログ!A:A,$F$11+ROW(A225)-1)</f>
        <v xml:space="preserve">  3 :  0  0  1</v>
      </c>
      <c r="B226" s="6">
        <f>INDEX(ログ!N:N,$F$11+ROW(A225)-1)*$G$5</f>
        <v>19.352210746113126</v>
      </c>
      <c r="C226" s="6">
        <f t="shared" si="9"/>
        <v>15.205308443374598</v>
      </c>
      <c r="D226" s="6">
        <f>SUBSTITUTE(INDEX(ログ!P:P,$F$11+ROW(A225)-1),":","")*$G$5</f>
        <v>11.058406140636071</v>
      </c>
      <c r="E226" s="4"/>
      <c r="F226" s="2"/>
      <c r="G226" s="2"/>
      <c r="H226" s="5">
        <f t="shared" si="10"/>
        <v>1425.2989959244687</v>
      </c>
      <c r="I226" s="5">
        <f t="shared" si="11"/>
        <v>-680.34280584170028</v>
      </c>
      <c r="J226" s="5">
        <f>ROUNDDOWN(INDEX(ログ!S:S,$F$11+ROW(A225)-1) * $F$8,0)</f>
        <v>-8</v>
      </c>
      <c r="K226" s="5"/>
    </row>
    <row r="227" spans="1:11">
      <c r="A227" t="str">
        <f>INDEX(ログ!A:A,$F$11+ROW(A226)-1)</f>
        <v xml:space="preserve">  3 :  0  0  1</v>
      </c>
      <c r="B227" s="6">
        <f>INDEX(ログ!N:N,$F$11+ROW(A226)-1)*$G$5</f>
        <v>16.242034019059229</v>
      </c>
      <c r="C227" s="6">
        <f t="shared" si="9"/>
        <v>10.885618544688633</v>
      </c>
      <c r="D227" s="6">
        <f>SUBSTITUTE(INDEX(ログ!P:P,$F$11+ROW(A226)-1),":","")*$G$5</f>
        <v>5.5292030703180357</v>
      </c>
      <c r="E227" s="4"/>
      <c r="F227" s="2"/>
      <c r="G227" s="2"/>
      <c r="H227" s="5">
        <f t="shared" si="10"/>
        <v>1436.0786763777749</v>
      </c>
      <c r="I227" s="5">
        <f t="shared" si="11"/>
        <v>-681.85779113043304</v>
      </c>
      <c r="J227" s="5">
        <f>ROUNDDOWN(INDEX(ログ!S:S,$F$11+ROW(A226)-1) * $F$8,0)</f>
        <v>-8</v>
      </c>
      <c r="K227" s="5"/>
    </row>
    <row r="228" spans="1:11">
      <c r="A228" t="str">
        <f>INDEX(ログ!A:A,$F$11+ROW(A227)-1)</f>
        <v xml:space="preserve">  3 :  0  0  1</v>
      </c>
      <c r="B228" s="6">
        <f>INDEX(ログ!N:N,$F$11+ROW(A227)-1)*$G$5</f>
        <v>14.859733251479721</v>
      </c>
      <c r="C228" s="6">
        <f t="shared" si="9"/>
        <v>11.058406140636071</v>
      </c>
      <c r="D228" s="6">
        <f>SUBSTITUTE(INDEX(ログ!P:P,$F$11+ROW(A227)-1),":","")*$G$5</f>
        <v>7.2570790297924219</v>
      </c>
      <c r="E228" s="4"/>
      <c r="F228" s="2"/>
      <c r="G228" s="2"/>
      <c r="H228" s="5">
        <f t="shared" si="10"/>
        <v>1447.0294628700224</v>
      </c>
      <c r="I228" s="5">
        <f t="shared" si="11"/>
        <v>-683.39682380470117</v>
      </c>
      <c r="J228" s="5">
        <f>ROUNDDOWN(INDEX(ログ!S:S,$F$11+ROW(A227)-1) * $F$8,0)</f>
        <v>-10</v>
      </c>
      <c r="K228" s="5"/>
    </row>
    <row r="229" spans="1:11">
      <c r="A229" t="str">
        <f>INDEX(ログ!A:A,$F$11+ROW(A228)-1)</f>
        <v xml:space="preserve">  3 :  0  0  1</v>
      </c>
      <c r="B229" s="6">
        <f>INDEX(ログ!N:N,$F$11+ROW(A228)-1)*$G$5</f>
        <v>13.477432483900213</v>
      </c>
      <c r="C229" s="6">
        <f t="shared" si="9"/>
        <v>9.6761053730565632</v>
      </c>
      <c r="D229" s="6">
        <f>SUBSTITUTE(INDEX(ログ!P:P,$F$11+ROW(A228)-1),":","")*$G$5</f>
        <v>5.8747782622129128</v>
      </c>
      <c r="E229" s="4"/>
      <c r="F229" s="2"/>
      <c r="G229" s="2"/>
      <c r="H229" s="5">
        <f t="shared" si="10"/>
        <v>1456.5585664603716</v>
      </c>
      <c r="I229" s="5">
        <f t="shared" si="11"/>
        <v>-685.0770618696456</v>
      </c>
      <c r="J229" s="5">
        <f>ROUNDDOWN(INDEX(ログ!S:S,$F$11+ROW(A228)-1) * $F$8,0)</f>
        <v>-10</v>
      </c>
      <c r="K229" s="5"/>
    </row>
    <row r="230" spans="1:11">
      <c r="A230" t="str">
        <f>INDEX(ログ!A:A,$F$11+ROW(A229)-1)</f>
        <v xml:space="preserve">  3 :  0  0  1</v>
      </c>
      <c r="B230" s="6">
        <f>INDEX(ログ!N:N,$F$11+ROW(A229)-1)*$G$5</f>
        <v>23.153537856956774</v>
      </c>
      <c r="C230" s="6">
        <f t="shared" si="9"/>
        <v>15.205308443374598</v>
      </c>
      <c r="D230" s="6">
        <f>SUBSTITUTE(INDEX(ログ!P:P,$F$11+ROW(A229)-1),":","")*$G$5</f>
        <v>7.2570790297924219</v>
      </c>
      <c r="E230" s="4"/>
      <c r="F230" s="2"/>
      <c r="G230" s="2"/>
      <c r="H230" s="5">
        <f t="shared" si="10"/>
        <v>1471.5328721023488</v>
      </c>
      <c r="I230" s="5">
        <f t="shared" si="11"/>
        <v>-687.71743597170121</v>
      </c>
      <c r="J230" s="5">
        <f>ROUNDDOWN(INDEX(ログ!S:S,$F$11+ROW(A229)-1) * $F$8,0)</f>
        <v>-10</v>
      </c>
      <c r="K230" s="5"/>
    </row>
    <row r="231" spans="1:11">
      <c r="A231" t="str">
        <f>INDEX(ログ!A:A,$F$11+ROW(A230)-1)</f>
        <v xml:space="preserve">  3 :  0  0  1</v>
      </c>
      <c r="B231" s="6">
        <f>INDEX(ログ!N:N,$F$11+ROW(A230)-1)*$G$5</f>
        <v>23.153537856956774</v>
      </c>
      <c r="C231" s="6">
        <f t="shared" si="9"/>
        <v>13.650220079847649</v>
      </c>
      <c r="D231" s="6">
        <f>SUBSTITUTE(INDEX(ログ!P:P,$F$11+ROW(A230)-1),":","")*$G$5</f>
        <v>4.1469023027385266</v>
      </c>
      <c r="E231" s="4"/>
      <c r="F231" s="2"/>
      <c r="G231" s="2"/>
      <c r="H231" s="5">
        <f t="shared" si="10"/>
        <v>1484.9757146673057</v>
      </c>
      <c r="I231" s="5">
        <f t="shared" si="11"/>
        <v>-690.08777181331925</v>
      </c>
      <c r="J231" s="5">
        <f>ROUNDDOWN(INDEX(ログ!S:S,$F$11+ROW(A230)-1) * $F$8,0)</f>
        <v>-8</v>
      </c>
      <c r="K231" s="5"/>
    </row>
    <row r="232" spans="1:11">
      <c r="A232" t="str">
        <f>INDEX(ログ!A:A,$F$11+ROW(A231)-1)</f>
        <v xml:space="preserve">  3 :  0  0  1</v>
      </c>
      <c r="B232" s="6">
        <f>INDEX(ログ!N:N,$F$11+ROW(A231)-1)*$G$5</f>
        <v>20.388936321797758</v>
      </c>
      <c r="C232" s="6">
        <f t="shared" si="9"/>
        <v>12.61349450416302</v>
      </c>
      <c r="D232" s="6">
        <f>SUBSTITUTE(INDEX(ログ!P:P,$F$11+ROW(A231)-1),":","")*$G$5</f>
        <v>4.8380526865282816</v>
      </c>
      <c r="E232" s="4"/>
      <c r="F232" s="2"/>
      <c r="G232" s="2"/>
      <c r="H232" s="5">
        <f t="shared" si="10"/>
        <v>1497.4664555100258</v>
      </c>
      <c r="I232" s="5">
        <f t="shared" si="11"/>
        <v>-691.84323095740638</v>
      </c>
      <c r="J232" s="5">
        <f>ROUNDDOWN(INDEX(ログ!S:S,$F$11+ROW(A231)-1) * $F$8,0)</f>
        <v>-8</v>
      </c>
      <c r="K232" s="5"/>
    </row>
    <row r="233" spans="1:11">
      <c r="A233" t="str">
        <f>INDEX(ログ!A:A,$F$11+ROW(A232)-1)</f>
        <v xml:space="preserve">  3 :  0  0  1</v>
      </c>
      <c r="B233" s="6">
        <f>INDEX(ログ!N:N,$F$11+ROW(A232)-1)*$G$5</f>
        <v>10.02168056495144</v>
      </c>
      <c r="C233" s="6">
        <f t="shared" si="9"/>
        <v>6.2203534541077907</v>
      </c>
      <c r="D233" s="6">
        <f>SUBSTITUTE(INDEX(ログ!P:P,$F$11+ROW(A232)-1),":","")*$G$5</f>
        <v>2.4190263432641408</v>
      </c>
      <c r="E233" s="4"/>
      <c r="F233" s="2"/>
      <c r="G233" s="2"/>
      <c r="H233" s="5">
        <f t="shared" si="10"/>
        <v>1503.6262729119151</v>
      </c>
      <c r="I233" s="5">
        <f t="shared" si="11"/>
        <v>-692.70893683668226</v>
      </c>
      <c r="J233" s="5">
        <f>ROUNDDOWN(INDEX(ログ!S:S,$F$11+ROW(A232)-1) * $F$8,0)</f>
        <v>-8</v>
      </c>
      <c r="K233" s="5"/>
    </row>
    <row r="234" spans="1:11">
      <c r="A234" t="str">
        <f>INDEX(ログ!A:A,$F$11+ROW(A233)-1)</f>
        <v xml:space="preserve">  3 :  0  0  1</v>
      </c>
      <c r="B234" s="6">
        <f>INDEX(ログ!N:N,$F$11+ROW(A233)-1)*$G$5</f>
        <v>18.315485170428492</v>
      </c>
      <c r="C234" s="6">
        <f t="shared" si="9"/>
        <v>12.267919312268141</v>
      </c>
      <c r="D234" s="6">
        <f>SUBSTITUTE(INDEX(ログ!P:P,$F$11+ROW(A233)-1),":","")*$G$5</f>
        <v>6.2203534541077898</v>
      </c>
      <c r="E234" s="4"/>
      <c r="F234" s="2"/>
      <c r="G234" s="2"/>
      <c r="H234" s="5">
        <f t="shared" si="10"/>
        <v>1515.7748016767523</v>
      </c>
      <c r="I234" s="5">
        <f t="shared" si="11"/>
        <v>-694.41630120969853</v>
      </c>
      <c r="J234" s="5">
        <f>ROUNDDOWN(INDEX(ログ!S:S,$F$11+ROW(A233)-1) * $F$8,0)</f>
        <v>-10</v>
      </c>
      <c r="K234" s="5"/>
    </row>
    <row r="235" spans="1:11">
      <c r="A235" t="str">
        <f>INDEX(ログ!A:A,$F$11+ROW(A234)-1)</f>
        <v xml:space="preserve">  3 :  0  0  1</v>
      </c>
      <c r="B235" s="6">
        <f>INDEX(ログ!N:N,$F$11+ROW(A234)-1)*$G$5</f>
        <v>20.04336112990288</v>
      </c>
      <c r="C235" s="6">
        <f t="shared" si="9"/>
        <v>14.168582867689967</v>
      </c>
      <c r="D235" s="6">
        <f>SUBSTITUTE(INDEX(ログ!P:P,$F$11+ROW(A234)-1),":","")*$G$5</f>
        <v>8.2938046054770531</v>
      </c>
      <c r="E235" s="4"/>
      <c r="F235" s="2"/>
      <c r="G235" s="2"/>
      <c r="H235" s="5">
        <f t="shared" si="10"/>
        <v>1529.7281319340493</v>
      </c>
      <c r="I235" s="5">
        <f t="shared" si="11"/>
        <v>-696.87664980479576</v>
      </c>
      <c r="J235" s="5">
        <f>ROUNDDOWN(INDEX(ログ!S:S,$F$11+ROW(A234)-1) * $F$8,0)</f>
        <v>-8</v>
      </c>
      <c r="K235" s="5"/>
    </row>
    <row r="236" spans="1:11">
      <c r="A236" t="str">
        <f>INDEX(ログ!A:A,$F$11+ROW(A235)-1)</f>
        <v xml:space="preserve">  3 :  0  0  1</v>
      </c>
      <c r="B236" s="6">
        <f>INDEX(ログ!N:N,$F$11+ROW(A235)-1)*$G$5</f>
        <v>19.352210746113126</v>
      </c>
      <c r="C236" s="6">
        <f t="shared" si="9"/>
        <v>10.367255756846317</v>
      </c>
      <c r="D236" s="6">
        <f>SUBSTITUTE(INDEX(ログ!P:P,$F$11+ROW(A235)-1),":","")*$G$5</f>
        <v>1.3823007675795089</v>
      </c>
      <c r="E236" s="4"/>
      <c r="F236" s="2"/>
      <c r="G236" s="2"/>
      <c r="H236" s="5">
        <f t="shared" si="10"/>
        <v>1539.9944942705315</v>
      </c>
      <c r="I236" s="5">
        <f t="shared" si="11"/>
        <v>-698.31949293692219</v>
      </c>
      <c r="J236" s="5">
        <f>ROUNDDOWN(INDEX(ログ!S:S,$F$11+ROW(A235)-1) * $F$8,0)</f>
        <v>-8</v>
      </c>
      <c r="K236" s="5"/>
    </row>
    <row r="237" spans="1:11">
      <c r="A237" t="str">
        <f>INDEX(ログ!A:A,$F$11+ROW(A236)-1)</f>
        <v xml:space="preserve">  3 :  0  0  1</v>
      </c>
      <c r="B237" s="6">
        <f>INDEX(ログ!N:N,$F$11+ROW(A236)-1)*$G$5</f>
        <v>12.786282100110457</v>
      </c>
      <c r="C237" s="6">
        <f t="shared" si="9"/>
        <v>7.0842914338449825</v>
      </c>
      <c r="D237" s="6">
        <f>SUBSTITUTE(INDEX(ログ!P:P,$F$11+ROW(A236)-1),":","")*$G$5</f>
        <v>1.3823007675795089</v>
      </c>
      <c r="E237" s="4"/>
      <c r="F237" s="2"/>
      <c r="G237" s="2"/>
      <c r="H237" s="5">
        <f t="shared" si="10"/>
        <v>1547.0098418671275</v>
      </c>
      <c r="I237" s="5">
        <f t="shared" si="11"/>
        <v>-699.30543574387525</v>
      </c>
      <c r="J237" s="5">
        <f>ROUNDDOWN(INDEX(ログ!S:S,$F$11+ROW(A236)-1) * $F$8,0)</f>
        <v>-8</v>
      </c>
      <c r="K237" s="5"/>
    </row>
    <row r="238" spans="1:11">
      <c r="A238" t="str">
        <f>INDEX(ログ!A:A,$F$11+ROW(A237)-1)</f>
        <v xml:space="preserve">  3 :  0  0  1</v>
      </c>
      <c r="B238" s="6">
        <f>INDEX(ログ!N:N,$F$11+ROW(A237)-1)*$G$5</f>
        <v>24.190263432641405</v>
      </c>
      <c r="C238" s="6">
        <f t="shared" si="9"/>
        <v>16.587609210954106</v>
      </c>
      <c r="D238" s="6">
        <f>SUBSTITUTE(INDEX(ログ!P:P,$F$11+ROW(A237)-1),":","")*$G$5</f>
        <v>8.9849549892668072</v>
      </c>
      <c r="E238" s="4"/>
      <c r="F238" s="2"/>
      <c r="G238" s="2"/>
      <c r="H238" s="5">
        <f t="shared" si="10"/>
        <v>1563.436021605499</v>
      </c>
      <c r="I238" s="5">
        <f t="shared" si="11"/>
        <v>-701.61398475527744</v>
      </c>
      <c r="J238" s="5">
        <f>ROUNDDOWN(INDEX(ログ!S:S,$F$11+ROW(A237)-1) * $F$8,0)</f>
        <v>-6</v>
      </c>
      <c r="K238" s="5"/>
    </row>
    <row r="239" spans="1:11">
      <c r="A239" t="str">
        <f>INDEX(ログ!A:A,$F$11+ROW(A238)-1)</f>
        <v xml:space="preserve">  3 :  0  0  1</v>
      </c>
      <c r="B239" s="6">
        <f>INDEX(ログ!N:N,$F$11+ROW(A238)-1)*$G$5</f>
        <v>21.080086705587512</v>
      </c>
      <c r="C239" s="6">
        <f t="shared" si="9"/>
        <v>11.058406140636071</v>
      </c>
      <c r="D239" s="6">
        <f>SUBSTITUTE(INDEX(ログ!P:P,$F$11+ROW(A238)-1),":","")*$G$5</f>
        <v>1.0367255756846316</v>
      </c>
      <c r="E239" s="4"/>
      <c r="F239" s="2"/>
      <c r="G239" s="2"/>
      <c r="H239" s="5">
        <f t="shared" si="10"/>
        <v>1574.4338486402366</v>
      </c>
      <c r="I239" s="5">
        <f t="shared" si="11"/>
        <v>-702.76990295534767</v>
      </c>
      <c r="J239" s="5">
        <f>ROUNDDOWN(INDEX(ログ!S:S,$F$11+ROW(A238)-1) * $F$8,0)</f>
        <v>-6</v>
      </c>
      <c r="K239" s="5"/>
    </row>
    <row r="240" spans="1:11">
      <c r="A240" t="str">
        <f>INDEX(ログ!A:A,$F$11+ROW(A239)-1)</f>
        <v xml:space="preserve">  3 :  0  0  1</v>
      </c>
      <c r="B240" s="6">
        <f>INDEX(ログ!N:N,$F$11+ROW(A239)-1)*$G$5</f>
        <v>21.771237089377266</v>
      </c>
      <c r="C240" s="6">
        <f t="shared" si="9"/>
        <v>13.995795271742528</v>
      </c>
      <c r="D240" s="6">
        <f>SUBSTITUTE(INDEX(ログ!P:P,$F$11+ROW(A239)-1),":","")*$G$5</f>
        <v>6.2203534541077898</v>
      </c>
      <c r="E240" s="4"/>
      <c r="F240" s="2"/>
      <c r="G240" s="2"/>
      <c r="H240" s="5">
        <f t="shared" si="10"/>
        <v>1588.3529734810763</v>
      </c>
      <c r="I240" s="5">
        <f t="shared" si="11"/>
        <v>-704.23286192731166</v>
      </c>
      <c r="J240" s="5">
        <f>ROUNDDOWN(INDEX(ログ!S:S,$F$11+ROW(A239)-1) * $F$8,0)</f>
        <v>-6</v>
      </c>
      <c r="K240" s="5"/>
    </row>
    <row r="241" spans="1:11">
      <c r="A241" t="str">
        <f>INDEX(ログ!A:A,$F$11+ROW(A240)-1)</f>
        <v xml:space="preserve">  3 :  0  0  1</v>
      </c>
      <c r="B241" s="6">
        <f>INDEX(ログ!N:N,$F$11+ROW(A240)-1)*$G$5</f>
        <v>20.04336112990288</v>
      </c>
      <c r="C241" s="6">
        <f t="shared" si="9"/>
        <v>11.922344120373264</v>
      </c>
      <c r="D241" s="6">
        <f>SUBSTITUTE(INDEX(ログ!P:P,$F$11+ROW(A240)-1),":","")*$G$5</f>
        <v>3.8013271108436495</v>
      </c>
      <c r="E241" s="4"/>
      <c r="F241" s="2"/>
      <c r="G241" s="2"/>
      <c r="H241" s="5">
        <f t="shared" si="10"/>
        <v>1600.2100057529028</v>
      </c>
      <c r="I241" s="5">
        <f t="shared" si="11"/>
        <v>-705.47908623676244</v>
      </c>
      <c r="J241" s="5">
        <f>ROUNDDOWN(INDEX(ログ!S:S,$F$11+ROW(A240)-1) * $F$8,0)</f>
        <v>-8</v>
      </c>
      <c r="K241" s="5"/>
    </row>
    <row r="242" spans="1:11">
      <c r="A242" t="str">
        <f>INDEX(ログ!A:A,$F$11+ROW(A241)-1)</f>
        <v xml:space="preserve">  3 :  0  0  1</v>
      </c>
      <c r="B242" s="6">
        <f>INDEX(ログ!N:N,$F$11+ROW(A241)-1)*$G$5</f>
        <v>25.226989008326036</v>
      </c>
      <c r="C242" s="6">
        <f t="shared" si="9"/>
        <v>14.686945655532281</v>
      </c>
      <c r="D242" s="6">
        <f>SUBSTITUTE(INDEX(ログ!P:P,$F$11+ROW(A241)-1),":","")*$G$5</f>
        <v>4.1469023027385266</v>
      </c>
      <c r="E242" s="4"/>
      <c r="F242" s="2"/>
      <c r="G242" s="2"/>
      <c r="H242" s="5">
        <f t="shared" si="10"/>
        <v>1614.7540190629193</v>
      </c>
      <c r="I242" s="5">
        <f t="shared" si="11"/>
        <v>-707.52311400727478</v>
      </c>
      <c r="J242" s="5">
        <f>ROUNDDOWN(INDEX(ログ!S:S,$F$11+ROW(A241)-1) * $F$8,0)</f>
        <v>-6</v>
      </c>
      <c r="K242" s="5"/>
    </row>
    <row r="243" spans="1:11">
      <c r="A243" t="str">
        <f>INDEX(ログ!A:A,$F$11+ROW(A242)-1)</f>
        <v xml:space="preserve">  3 :  0  0  1</v>
      </c>
      <c r="B243" s="6">
        <f>INDEX(ログ!N:N,$F$11+ROW(A242)-1)*$G$5</f>
        <v>21.080086705587512</v>
      </c>
      <c r="C243" s="6">
        <f t="shared" si="9"/>
        <v>11.576768928478387</v>
      </c>
      <c r="D243" s="6">
        <f>SUBSTITUTE(INDEX(ログ!P:P,$F$11+ROW(A242)-1),":","")*$G$5</f>
        <v>2.0734511513692633</v>
      </c>
      <c r="E243" s="4"/>
      <c r="F243" s="2"/>
      <c r="G243" s="2"/>
      <c r="H243" s="5">
        <f t="shared" si="10"/>
        <v>1626.2673692399101</v>
      </c>
      <c r="I243" s="5">
        <f t="shared" si="11"/>
        <v>-708.73321587297335</v>
      </c>
      <c r="J243" s="5">
        <f>ROUNDDOWN(INDEX(ログ!S:S,$F$11+ROW(A242)-1) * $F$8,0)</f>
        <v>-6</v>
      </c>
      <c r="K243" s="5"/>
    </row>
    <row r="244" spans="1:11">
      <c r="A244" t="str">
        <f>INDEX(ログ!A:A,$F$11+ROW(A243)-1)</f>
        <v xml:space="preserve">  3 :  0  0  1</v>
      </c>
      <c r="B244" s="6">
        <f>INDEX(ログ!N:N,$F$11+ROW(A243)-1)*$G$5</f>
        <v>18.315485170428492</v>
      </c>
      <c r="C244" s="6">
        <f t="shared" si="9"/>
        <v>10.367255756846316</v>
      </c>
      <c r="D244" s="6">
        <f>SUBSTITUTE(INDEX(ログ!P:P,$F$11+ROW(A243)-1),":","")*$G$5</f>
        <v>2.4190263432641408</v>
      </c>
      <c r="E244" s="4"/>
      <c r="F244" s="2"/>
      <c r="G244" s="2"/>
      <c r="H244" s="5">
        <f t="shared" si="10"/>
        <v>1636.5778320849765</v>
      </c>
      <c r="I244" s="5">
        <f t="shared" si="11"/>
        <v>-709.81688918553925</v>
      </c>
      <c r="J244" s="5">
        <f>ROUNDDOWN(INDEX(ログ!S:S,$F$11+ROW(A243)-1) * $F$8,0)</f>
        <v>-6</v>
      </c>
      <c r="K244" s="5"/>
    </row>
    <row r="245" spans="1:11">
      <c r="A245" t="str">
        <f>INDEX(ログ!A:A,$F$11+ROW(A244)-1)</f>
        <v xml:space="preserve">  3 :  0  0  1</v>
      </c>
      <c r="B245" s="6">
        <f>INDEX(ログ!N:N,$F$11+ROW(A244)-1)*$G$5</f>
        <v>22.46238747316702</v>
      </c>
      <c r="C245" s="6">
        <f t="shared" si="9"/>
        <v>12.613494504163018</v>
      </c>
      <c r="D245" s="6">
        <f>SUBSTITUTE(INDEX(ログ!P:P,$F$11+ROW(A244)-1),":","")*$G$5</f>
        <v>2.7646015351590179</v>
      </c>
      <c r="E245" s="4"/>
      <c r="F245" s="2"/>
      <c r="G245" s="2"/>
      <c r="H245" s="5">
        <f t="shared" si="10"/>
        <v>1649.1222285464739</v>
      </c>
      <c r="I245" s="5">
        <f t="shared" si="11"/>
        <v>-711.13535838249436</v>
      </c>
      <c r="J245" s="5">
        <f>ROUNDDOWN(INDEX(ログ!S:S,$F$11+ROW(A244)-1) * $F$8,0)</f>
        <v>-6</v>
      </c>
      <c r="K245" s="5"/>
    </row>
    <row r="246" spans="1:11">
      <c r="A246" t="str">
        <f>INDEX(ログ!A:A,$F$11+ROW(A245)-1)</f>
        <v xml:space="preserve">  3 :  0  0  1</v>
      </c>
      <c r="B246" s="6">
        <f>INDEX(ログ!N:N,$F$11+ROW(A245)-1)*$G$5</f>
        <v>22.116812281272143</v>
      </c>
      <c r="C246" s="6">
        <f t="shared" si="9"/>
        <v>13.477432483900213</v>
      </c>
      <c r="D246" s="6">
        <f>SUBSTITUTE(INDEX(ログ!P:P,$F$11+ROW(A245)-1),":","")*$G$5</f>
        <v>4.8380526865282816</v>
      </c>
      <c r="E246" s="4"/>
      <c r="F246" s="2"/>
      <c r="G246" s="2"/>
      <c r="H246" s="5">
        <f t="shared" si="10"/>
        <v>1662.5258302450602</v>
      </c>
      <c r="I246" s="5">
        <f t="shared" si="11"/>
        <v>-712.54413368883002</v>
      </c>
      <c r="J246" s="5">
        <f>ROUNDDOWN(INDEX(ログ!S:S,$F$11+ROW(A245)-1) * $F$8,0)</f>
        <v>-6</v>
      </c>
      <c r="K246" s="5"/>
    </row>
    <row r="247" spans="1:11">
      <c r="A247" t="str">
        <f>INDEX(ログ!A:A,$F$11+ROW(A246)-1)</f>
        <v xml:space="preserve">  3 :  0  0  1</v>
      </c>
      <c r="B247" s="6">
        <f>INDEX(ログ!N:N,$F$11+ROW(A246)-1)*$G$5</f>
        <v>17.624334786638737</v>
      </c>
      <c r="C247" s="6">
        <f t="shared" si="9"/>
        <v>8.9849549892668072</v>
      </c>
      <c r="D247" s="6">
        <f>SUBSTITUTE(INDEX(ログ!P:P,$F$11+ROW(A246)-1),":","")*$G$5</f>
        <v>0.34557519189487723</v>
      </c>
      <c r="E247" s="4"/>
      <c r="F247" s="2"/>
      <c r="G247" s="2"/>
      <c r="H247" s="5">
        <f t="shared" si="10"/>
        <v>1671.4615647107844</v>
      </c>
      <c r="I247" s="5">
        <f t="shared" si="11"/>
        <v>-713.48331722638716</v>
      </c>
      <c r="J247" s="5">
        <f>ROUNDDOWN(INDEX(ログ!S:S,$F$11+ROW(A246)-1) * $F$8,0)</f>
        <v>-6</v>
      </c>
      <c r="K247" s="5"/>
    </row>
    <row r="248" spans="1:11">
      <c r="A248" t="str">
        <f>INDEX(ログ!A:A,$F$11+ROW(A247)-1)</f>
        <v xml:space="preserve">  3 :  0  0  1</v>
      </c>
      <c r="B248" s="6">
        <f>INDEX(ログ!N:N,$F$11+ROW(A247)-1)*$G$5</f>
        <v>19.697785938008003</v>
      </c>
      <c r="C248" s="6">
        <f t="shared" si="9"/>
        <v>9.8488929690040017</v>
      </c>
      <c r="D248" s="6">
        <f>SUBSTITUTE(INDEX(ログ!P:P,$F$11+ROW(A247)-1),":","")*$G$5</f>
        <v>0</v>
      </c>
      <c r="E248" s="4"/>
      <c r="F248" s="2"/>
      <c r="G248" s="2"/>
      <c r="H248" s="5">
        <f t="shared" si="10"/>
        <v>1681.2565044135974</v>
      </c>
      <c r="I248" s="5">
        <f t="shared" si="11"/>
        <v>-714.51280687332473</v>
      </c>
      <c r="J248" s="5">
        <f>ROUNDDOWN(INDEX(ログ!S:S,$F$11+ROW(A247)-1) * $F$8,0)</f>
        <v>-6</v>
      </c>
      <c r="K248" s="5"/>
    </row>
    <row r="249" spans="1:11">
      <c r="A249" t="str">
        <f>INDEX(ログ!A:A,$F$11+ROW(A248)-1)</f>
        <v xml:space="preserve">  3 :  0  0  1</v>
      </c>
      <c r="B249" s="6">
        <f>INDEX(ログ!N:N,$F$11+ROW(A248)-1)*$G$5</f>
        <v>21.425661897482389</v>
      </c>
      <c r="C249" s="6">
        <f t="shared" si="9"/>
        <v>10.712830948741194</v>
      </c>
      <c r="D249" s="6">
        <f>SUBSTITUTE(INDEX(ログ!P:P,$F$11+ROW(A248)-1),":","")*$G$5</f>
        <v>0</v>
      </c>
      <c r="E249" s="4"/>
      <c r="F249" s="2"/>
      <c r="G249" s="2"/>
      <c r="H249" s="5">
        <f t="shared" si="10"/>
        <v>1691.9106493534994</v>
      </c>
      <c r="I249" s="5">
        <f t="shared" si="11"/>
        <v>-715.63260262964286</v>
      </c>
      <c r="J249" s="5">
        <f>ROUNDDOWN(INDEX(ログ!S:S,$F$11+ROW(A248)-1) * $F$8,0)</f>
        <v>-6</v>
      </c>
      <c r="K249" s="5"/>
    </row>
    <row r="250" spans="1:11">
      <c r="A250" t="str">
        <f>INDEX(ログ!A:A,$F$11+ROW(A249)-1)</f>
        <v xml:space="preserve">  3 :  0  0  1</v>
      </c>
      <c r="B250" s="6">
        <f>INDEX(ログ!N:N,$F$11+ROW(A249)-1)*$G$5</f>
        <v>17.27875959474386</v>
      </c>
      <c r="C250" s="6">
        <f t="shared" si="9"/>
        <v>8.4665922014244916</v>
      </c>
      <c r="D250" s="6">
        <f>SUBSTITUTE(INDEX(ログ!P:P,$F$11+ROW(A249)-1),":","")*$G$5</f>
        <v>-0.34557519189487723</v>
      </c>
      <c r="E250" s="4"/>
      <c r="F250" s="2"/>
      <c r="G250" s="2"/>
      <c r="H250" s="5">
        <f t="shared" si="10"/>
        <v>1700.3308606769704</v>
      </c>
      <c r="I250" s="5">
        <f t="shared" si="11"/>
        <v>-716.51760250157167</v>
      </c>
      <c r="J250" s="5">
        <f>ROUNDDOWN(INDEX(ログ!S:S,$F$11+ROW(A249)-1) * $F$8,0)</f>
        <v>-6</v>
      </c>
      <c r="K250" s="5"/>
    </row>
    <row r="251" spans="1:11">
      <c r="A251" t="str">
        <f>INDEX(ログ!A:A,$F$11+ROW(A250)-1)</f>
        <v xml:space="preserve">  3 :  0  0  1</v>
      </c>
      <c r="B251" s="6">
        <f>INDEX(ログ!N:N,$F$11+ROW(A250)-1)*$G$5</f>
        <v>19.006635554218249</v>
      </c>
      <c r="C251" s="6">
        <f t="shared" si="9"/>
        <v>9.6761053730565632</v>
      </c>
      <c r="D251" s="6">
        <f>SUBSTITUTE(INDEX(ログ!P:P,$F$11+ROW(A250)-1),":","")*$G$5</f>
        <v>0.34557519189487723</v>
      </c>
      <c r="E251" s="4"/>
      <c r="F251" s="2"/>
      <c r="G251" s="2"/>
      <c r="H251" s="5">
        <f t="shared" si="10"/>
        <v>1709.9539593323657</v>
      </c>
      <c r="I251" s="5">
        <f t="shared" si="11"/>
        <v>-717.52903092663314</v>
      </c>
      <c r="J251" s="5">
        <f>ROUNDDOWN(INDEX(ログ!S:S,$F$11+ROW(A250)-1) * $F$8,0)</f>
        <v>-6</v>
      </c>
      <c r="K251" s="5"/>
    </row>
    <row r="252" spans="1:11">
      <c r="A252" t="str">
        <f>INDEX(ログ!A:A,$F$11+ROW(A251)-1)</f>
        <v xml:space="preserve">  3 :  0  0  1</v>
      </c>
      <c r="B252" s="6">
        <f>INDEX(ログ!N:N,$F$11+ROW(A251)-1)*$G$5</f>
        <v>19.006635554218249</v>
      </c>
      <c r="C252" s="6">
        <f t="shared" si="9"/>
        <v>9.5033177771091246</v>
      </c>
      <c r="D252" s="6">
        <f>SUBSTITUTE(INDEX(ログ!P:P,$F$11+ROW(A251)-1),":","")*$G$5</f>
        <v>0</v>
      </c>
      <c r="E252" s="4"/>
      <c r="F252" s="2"/>
      <c r="G252" s="2"/>
      <c r="H252" s="5">
        <f t="shared" si="10"/>
        <v>1719.4052169403433</v>
      </c>
      <c r="I252" s="5">
        <f t="shared" si="11"/>
        <v>-718.5223981298185</v>
      </c>
      <c r="J252" s="5">
        <f>ROUNDDOWN(INDEX(ログ!S:S,$F$11+ROW(A251)-1) * $F$8,0)</f>
        <v>-6</v>
      </c>
      <c r="K252" s="5"/>
    </row>
    <row r="253" spans="1:11">
      <c r="A253" t="str">
        <f>INDEX(ログ!A:A,$F$11+ROW(A252)-1)</f>
        <v xml:space="preserve">  3 :  0  0  1</v>
      </c>
      <c r="B253" s="6">
        <f>INDEX(ログ!N:N,$F$11+ROW(A252)-1)*$G$5</f>
        <v>16.587609210954106</v>
      </c>
      <c r="C253" s="6">
        <f t="shared" si="9"/>
        <v>8.2938046054770531</v>
      </c>
      <c r="D253" s="6">
        <f>SUBSTITUTE(INDEX(ログ!P:P,$F$11+ROW(A252)-1),":","")*$G$5</f>
        <v>0</v>
      </c>
      <c r="E253" s="4"/>
      <c r="F253" s="2"/>
      <c r="G253" s="2"/>
      <c r="H253" s="5">
        <f t="shared" si="10"/>
        <v>1727.6535872163965</v>
      </c>
      <c r="I253" s="5">
        <f t="shared" si="11"/>
        <v>-719.3893367798712</v>
      </c>
      <c r="J253" s="5">
        <f>ROUNDDOWN(INDEX(ログ!S:S,$F$11+ROW(A252)-1) * $F$8,0)</f>
        <v>-6</v>
      </c>
      <c r="K253" s="5"/>
    </row>
    <row r="254" spans="1:11">
      <c r="A254" t="str">
        <f>INDEX(ログ!A:A,$F$11+ROW(A253)-1)</f>
        <v xml:space="preserve">  3 :  0  0  1</v>
      </c>
      <c r="B254" s="6">
        <f>INDEX(ログ!N:N,$F$11+ROW(A253)-1)*$G$5</f>
        <v>16.933184402848983</v>
      </c>
      <c r="C254" s="6">
        <f t="shared" si="9"/>
        <v>8.4665922014244916</v>
      </c>
      <c r="D254" s="6">
        <f>SUBSTITUTE(INDEX(ログ!P:P,$F$11+ROW(A253)-1),":","")*$G$5</f>
        <v>0</v>
      </c>
      <c r="E254" s="4"/>
      <c r="F254" s="2"/>
      <c r="G254" s="2"/>
      <c r="H254" s="5">
        <f t="shared" si="10"/>
        <v>1736.0737985398675</v>
      </c>
      <c r="I254" s="5">
        <f t="shared" si="11"/>
        <v>-720.27433665180001</v>
      </c>
      <c r="J254" s="5">
        <f>ROUNDDOWN(INDEX(ログ!S:S,$F$11+ROW(A253)-1) * $F$8,0)</f>
        <v>-6</v>
      </c>
      <c r="K254" s="5"/>
    </row>
    <row r="255" spans="1:11">
      <c r="A255" t="str">
        <f>INDEX(ログ!A:A,$F$11+ROW(A254)-1)</f>
        <v xml:space="preserve">  3 :  0  0  1</v>
      </c>
      <c r="B255" s="6">
        <f>INDEX(ログ!N:N,$F$11+ROW(A254)-1)*$G$5</f>
        <v>18.315485170428492</v>
      </c>
      <c r="C255" s="6">
        <f t="shared" si="9"/>
        <v>10.021680564951438</v>
      </c>
      <c r="D255" s="6">
        <f>SUBSTITUTE(INDEX(ログ!P:P,$F$11+ROW(A254)-1),":","")*$G$5</f>
        <v>1.7278759594743862</v>
      </c>
      <c r="E255" s="4"/>
      <c r="F255" s="2"/>
      <c r="G255" s="2"/>
      <c r="H255" s="5">
        <f t="shared" ref="H255:H318" si="12">H254+(C255*COS(RADIANS(J254)))</f>
        <v>1746.0405792900983</v>
      </c>
      <c r="I255" s="5">
        <f t="shared" ref="I255:I318" si="13">I254+(C255*SIN(RADIANS(J254)))</f>
        <v>-721.3218875206137</v>
      </c>
      <c r="J255" s="5">
        <f>ROUNDDOWN(INDEX(ログ!S:S,$F$11+ROW(A254)-1) * $F$8,0)</f>
        <v>-6</v>
      </c>
    </row>
    <row r="256" spans="1:11">
      <c r="A256" t="str">
        <f>INDEX(ログ!A:A,$F$11+ROW(A255)-1)</f>
        <v xml:space="preserve">  3 :  0  0  1</v>
      </c>
      <c r="B256" s="6">
        <f>INDEX(ログ!N:N,$F$11+ROW(A255)-1)*$G$5</f>
        <v>19.697785938008003</v>
      </c>
      <c r="C256" s="6">
        <f t="shared" si="9"/>
        <v>11.403981332530948</v>
      </c>
      <c r="D256" s="6">
        <f>SUBSTITUTE(INDEX(ログ!P:P,$F$11+ROW(A255)-1),":","")*$G$5</f>
        <v>3.1101767270538949</v>
      </c>
      <c r="E256" s="4"/>
      <c r="F256" s="2"/>
      <c r="G256" s="2"/>
      <c r="H256" s="5">
        <f t="shared" si="12"/>
        <v>1757.3820884196714</v>
      </c>
      <c r="I256" s="5">
        <f t="shared" si="13"/>
        <v>-722.51392816443615</v>
      </c>
      <c r="J256" s="5">
        <f>ROUNDDOWN(INDEX(ログ!S:S,$F$11+ROW(A255)-1) * $F$8,0)</f>
        <v>-6</v>
      </c>
    </row>
    <row r="257" spans="1:10">
      <c r="A257" t="str">
        <f>INDEX(ログ!A:A,$F$11+ROW(A256)-1)</f>
        <v xml:space="preserve">  3 :  0  0  1</v>
      </c>
      <c r="B257" s="6">
        <f>INDEX(ログ!N:N,$F$11+ROW(A256)-1)*$G$5</f>
        <v>15.896458827164352</v>
      </c>
      <c r="C257" s="6">
        <f t="shared" si="9"/>
        <v>7.9482294135821761</v>
      </c>
      <c r="D257" s="6">
        <f>SUBSTITUTE(INDEX(ログ!P:P,$F$11+ROW(A256)-1),":","")*$G$5</f>
        <v>0</v>
      </c>
      <c r="E257" s="4"/>
      <c r="F257" s="2"/>
      <c r="G257" s="2"/>
      <c r="H257" s="5">
        <f t="shared" si="12"/>
        <v>1765.286776600889</v>
      </c>
      <c r="I257" s="5">
        <f t="shared" si="13"/>
        <v>-723.34474437073663</v>
      </c>
      <c r="J257" s="5">
        <f>ROUNDDOWN(INDEX(ログ!S:S,$F$11+ROW(A256)-1) * $F$8,0)</f>
        <v>-6</v>
      </c>
    </row>
    <row r="258" spans="1:10">
      <c r="A258" t="str">
        <f>INDEX(ログ!A:A,$F$11+ROW(A257)-1)</f>
        <v xml:space="preserve">  3 :  0  0  1</v>
      </c>
      <c r="B258" s="6">
        <f>INDEX(ログ!N:N,$F$11+ROW(A257)-1)*$G$5</f>
        <v>16.242034019059229</v>
      </c>
      <c r="C258" s="6">
        <f t="shared" si="9"/>
        <v>8.1210170095296146</v>
      </c>
      <c r="D258" s="6">
        <f>SUBSTITUTE(INDEX(ログ!P:P,$F$11+ROW(A257)-1),":","")*$G$5</f>
        <v>0</v>
      </c>
      <c r="E258" s="4"/>
      <c r="F258" s="2"/>
      <c r="G258" s="2"/>
      <c r="H258" s="5">
        <f t="shared" si="12"/>
        <v>1773.3633058295243</v>
      </c>
      <c r="I258" s="5">
        <f t="shared" si="13"/>
        <v>-724.19362179891323</v>
      </c>
      <c r="J258" s="5">
        <f>ROUNDDOWN(INDEX(ログ!S:S,$F$11+ROW(A257)-1) * $F$8,0)</f>
        <v>-6</v>
      </c>
    </row>
    <row r="259" spans="1:10">
      <c r="A259" t="str">
        <f>INDEX(ログ!A:A,$F$11+ROW(A258)-1)</f>
        <v xml:space="preserve">  3 :  0  0  1</v>
      </c>
      <c r="B259" s="6">
        <f>INDEX(ログ!N:N,$F$11+ROW(A258)-1)*$G$5</f>
        <v>18.661060362323372</v>
      </c>
      <c r="C259" s="6">
        <f t="shared" ref="C259:C324" si="14">(B259+D259)/2</f>
        <v>9.5033177771091246</v>
      </c>
      <c r="D259" s="6">
        <f>SUBSTITUTE(INDEX(ログ!P:P,$F$11+ROW(A258)-1),":","")*$G$5</f>
        <v>0.34557519189487723</v>
      </c>
      <c r="E259" s="4"/>
      <c r="F259" s="2"/>
      <c r="G259" s="2"/>
      <c r="H259" s="5">
        <f t="shared" si="12"/>
        <v>1782.8145634375019</v>
      </c>
      <c r="I259" s="5">
        <f t="shared" si="13"/>
        <v>-725.18698900209858</v>
      </c>
      <c r="J259" s="5">
        <f>ROUNDDOWN(INDEX(ログ!S:S,$F$11+ROW(A258)-1) * $F$8,0)</f>
        <v>-6</v>
      </c>
    </row>
    <row r="260" spans="1:10">
      <c r="A260" t="str">
        <f>INDEX(ログ!A:A,$F$11+ROW(A259)-1)</f>
        <v xml:space="preserve">  3 :  0  0  1</v>
      </c>
      <c r="B260" s="6">
        <f>INDEX(ログ!N:N,$F$11+ROW(A259)-1)*$G$5</f>
        <v>18.661060362323372</v>
      </c>
      <c r="C260" s="6">
        <f t="shared" si="14"/>
        <v>9.3305301811616861</v>
      </c>
      <c r="D260" s="6">
        <f>SUBSTITUTE(INDEX(ログ!P:P,$F$11+ROW(A259)-1),":","")*$G$5</f>
        <v>0</v>
      </c>
      <c r="E260" s="4"/>
      <c r="F260" s="2"/>
      <c r="G260" s="2"/>
      <c r="H260" s="5">
        <f t="shared" si="12"/>
        <v>1792.0939799980617</v>
      </c>
      <c r="I260" s="5">
        <f t="shared" si="13"/>
        <v>-726.16229498340783</v>
      </c>
      <c r="J260" s="5">
        <f>ROUNDDOWN(INDEX(ログ!S:S,$F$11+ROW(A259)-1) * $F$8,0)</f>
        <v>-6</v>
      </c>
    </row>
    <row r="261" spans="1:10">
      <c r="A261" t="str">
        <f>INDEX(ログ!A:A,$F$11+ROW(A260)-1)</f>
        <v xml:space="preserve">  3 :  0  0  1</v>
      </c>
      <c r="B261" s="6">
        <f>INDEX(ログ!N:N,$F$11+ROW(A260)-1)*$G$5</f>
        <v>15.205308443374598</v>
      </c>
      <c r="C261" s="6">
        <f t="shared" si="14"/>
        <v>7.602654221687299</v>
      </c>
      <c r="D261" s="6">
        <f>SUBSTITUTE(INDEX(ログ!P:P,$F$11+ROW(A260)-1),":","")*$G$5</f>
        <v>0</v>
      </c>
      <c r="E261" s="4"/>
      <c r="F261" s="2"/>
      <c r="G261" s="2"/>
      <c r="H261" s="5">
        <f t="shared" si="12"/>
        <v>1799.6549860844439</v>
      </c>
      <c r="I261" s="5">
        <f t="shared" si="13"/>
        <v>-726.9569887459561</v>
      </c>
      <c r="J261" s="5">
        <f>ROUNDDOWN(INDEX(ログ!S:S,$F$11+ROW(A260)-1) * $F$8,0)</f>
        <v>-6</v>
      </c>
    </row>
    <row r="262" spans="1:10">
      <c r="A262" t="str">
        <f>INDEX(ログ!A:A,$F$11+ROW(A261)-1)</f>
        <v xml:space="preserve">  3 :  0  0  1</v>
      </c>
      <c r="B262" s="6">
        <f>INDEX(ログ!N:N,$F$11+ROW(A261)-1)*$G$5</f>
        <v>16.587609210954106</v>
      </c>
      <c r="C262" s="6">
        <f t="shared" si="14"/>
        <v>8.6393797973719302</v>
      </c>
      <c r="D262" s="6">
        <f>SUBSTITUTE(INDEX(ログ!P:P,$F$11+ROW(A261)-1),":","")*$G$5</f>
        <v>0.69115038378975446</v>
      </c>
      <c r="E262" s="4"/>
      <c r="F262" s="2"/>
      <c r="G262" s="2"/>
      <c r="H262" s="5">
        <f t="shared" si="12"/>
        <v>1808.2470384553326</v>
      </c>
      <c r="I262" s="5">
        <f t="shared" si="13"/>
        <v>-727.86004983976102</v>
      </c>
      <c r="J262" s="5">
        <f>ROUNDDOWN(INDEX(ログ!S:S,$F$11+ROW(A261)-1) * $F$8,0)</f>
        <v>-6</v>
      </c>
    </row>
    <row r="263" spans="1:10">
      <c r="A263" t="str">
        <f>INDEX(ログ!A:A,$F$11+ROW(A262)-1)</f>
        <v xml:space="preserve">  3 :  0  0  1</v>
      </c>
      <c r="B263" s="6">
        <f>INDEX(ログ!N:N,$F$11+ROW(A262)-1)*$G$5</f>
        <v>18.661060362323372</v>
      </c>
      <c r="C263" s="6">
        <f t="shared" si="14"/>
        <v>11.058406140636073</v>
      </c>
      <c r="D263" s="6">
        <f>SUBSTITUTE(INDEX(ログ!P:P,$F$11+ROW(A262)-1),":","")*$G$5</f>
        <v>3.4557519189487724</v>
      </c>
      <c r="E263" s="4"/>
      <c r="F263" s="2"/>
      <c r="G263" s="2"/>
      <c r="H263" s="5">
        <f t="shared" si="12"/>
        <v>1819.2448654900702</v>
      </c>
      <c r="I263" s="5">
        <f t="shared" si="13"/>
        <v>-729.01596803983125</v>
      </c>
      <c r="J263" s="5">
        <f>ROUNDDOWN(INDEX(ログ!S:S,$F$11+ROW(A262)-1) * $F$8,0)</f>
        <v>-6</v>
      </c>
    </row>
    <row r="264" spans="1:10">
      <c r="A264" t="str">
        <f>INDEX(ログ!A:A,$F$11+ROW(A263)-1)</f>
        <v xml:space="preserve">  3 :  0  0  1</v>
      </c>
      <c r="B264" s="6">
        <f>INDEX(ログ!N:N,$F$11+ROW(A263)-1)*$G$5</f>
        <v>20.04336112990288</v>
      </c>
      <c r="C264" s="6">
        <f t="shared" si="14"/>
        <v>10.540043352793756</v>
      </c>
      <c r="D264" s="6">
        <f>SUBSTITUTE(INDEX(ログ!P:P,$F$11+ROW(A263)-1),":","")*$G$5</f>
        <v>1.0367255756846316</v>
      </c>
      <c r="E264" s="4"/>
      <c r="F264" s="2"/>
      <c r="G264" s="2"/>
      <c r="H264" s="5">
        <f t="shared" si="12"/>
        <v>1829.7271693825544</v>
      </c>
      <c r="I264" s="5">
        <f t="shared" si="13"/>
        <v>-730.11770257427327</v>
      </c>
      <c r="J264" s="5">
        <f>ROUNDDOWN(INDEX(ログ!S:S,$F$11+ROW(A263)-1) * $F$8,0)</f>
        <v>-6</v>
      </c>
    </row>
    <row r="265" spans="1:10">
      <c r="A265" t="str">
        <f>INDEX(ログ!A:A,$F$11+ROW(A264)-1)</f>
        <v xml:space="preserve">  3 :  0  0  1</v>
      </c>
      <c r="B265" s="6">
        <f>INDEX(ログ!N:N,$F$11+ROW(A264)-1)*$G$5</f>
        <v>15.205308443374598</v>
      </c>
      <c r="C265" s="6">
        <f t="shared" si="14"/>
        <v>8.6393797973719302</v>
      </c>
      <c r="D265" s="6">
        <f>SUBSTITUTE(INDEX(ログ!P:P,$F$11+ROW(A264)-1),":","")*$G$5</f>
        <v>2.0734511513692633</v>
      </c>
      <c r="E265" s="4"/>
      <c r="F265" s="2"/>
      <c r="G265" s="2"/>
      <c r="H265" s="5">
        <f t="shared" si="12"/>
        <v>1838.3192217534431</v>
      </c>
      <c r="I265" s="5">
        <f t="shared" si="13"/>
        <v>-731.02076366807819</v>
      </c>
      <c r="J265" s="5">
        <f>ROUNDDOWN(INDEX(ログ!S:S,$F$11+ROW(A264)-1) * $F$8,0)</f>
        <v>-6</v>
      </c>
    </row>
    <row r="266" spans="1:10">
      <c r="A266" t="str">
        <f>INDEX(ログ!A:A,$F$11+ROW(A265)-1)</f>
        <v xml:space="preserve">  3 :  0  0  1</v>
      </c>
      <c r="B266" s="6">
        <f>INDEX(ログ!N:N,$F$11+ROW(A265)-1)*$G$5</f>
        <v>16.933184402848983</v>
      </c>
      <c r="C266" s="6">
        <f t="shared" si="14"/>
        <v>9.3305301811616843</v>
      </c>
      <c r="D266" s="6">
        <f>SUBSTITUTE(INDEX(ログ!P:P,$F$11+ROW(A265)-1),":","")*$G$5</f>
        <v>1.7278759594743862</v>
      </c>
      <c r="E266" s="4"/>
      <c r="F266" s="2"/>
      <c r="G266" s="2"/>
      <c r="H266" s="5">
        <f t="shared" si="12"/>
        <v>1847.598638314003</v>
      </c>
      <c r="I266" s="5">
        <f t="shared" si="13"/>
        <v>-731.99606964938744</v>
      </c>
      <c r="J266" s="5">
        <f>ROUNDDOWN(INDEX(ログ!S:S,$F$11+ROW(A265)-1) * $F$8,0)</f>
        <v>-6</v>
      </c>
    </row>
    <row r="267" spans="1:10">
      <c r="A267" t="str">
        <f>INDEX(ログ!A:A,$F$11+ROW(A266)-1)</f>
        <v xml:space="preserve">  3 :  0  0  1</v>
      </c>
      <c r="B267" s="6">
        <f>INDEX(ログ!N:N,$F$11+ROW(A266)-1)*$G$5</f>
        <v>18.661060362323372</v>
      </c>
      <c r="C267" s="6">
        <f t="shared" si="14"/>
        <v>10.885618544688633</v>
      </c>
      <c r="D267" s="6">
        <f>SUBSTITUTE(INDEX(ログ!P:P,$F$11+ROW(A266)-1),":","")*$G$5</f>
        <v>3.1101767270538949</v>
      </c>
      <c r="E267" s="4"/>
      <c r="F267" s="2"/>
      <c r="G267" s="2"/>
      <c r="H267" s="5">
        <f t="shared" si="12"/>
        <v>1858.4246243013226</v>
      </c>
      <c r="I267" s="5">
        <f t="shared" si="13"/>
        <v>-733.13392662758156</v>
      </c>
      <c r="J267" s="5">
        <f>ROUNDDOWN(INDEX(ログ!S:S,$F$11+ROW(A266)-1) * $F$8,0)</f>
        <v>-6</v>
      </c>
    </row>
    <row r="268" spans="1:10">
      <c r="A268" t="str">
        <f>INDEX(ログ!A:A,$F$11+ROW(A267)-1)</f>
        <v xml:space="preserve">  3 :  0  0  1</v>
      </c>
      <c r="B268" s="6">
        <f>INDEX(ログ!N:N,$F$11+ROW(A267)-1)*$G$5</f>
        <v>18.661060362323372</v>
      </c>
      <c r="C268" s="6">
        <f t="shared" si="14"/>
        <v>10.02168056495144</v>
      </c>
      <c r="D268" s="6">
        <f>SUBSTITUTE(INDEX(ログ!P:P,$F$11+ROW(A267)-1),":","")*$G$5</f>
        <v>1.3823007675795089</v>
      </c>
      <c r="E268" s="4"/>
      <c r="F268" s="2"/>
      <c r="G268" s="2"/>
      <c r="H268" s="5">
        <f t="shared" si="12"/>
        <v>1868.3914050515534</v>
      </c>
      <c r="I268" s="5">
        <f t="shared" si="13"/>
        <v>-734.18147749639525</v>
      </c>
      <c r="J268" s="5">
        <f>ROUNDDOWN(INDEX(ログ!S:S,$F$11+ROW(A267)-1) * $F$8,0)</f>
        <v>-6</v>
      </c>
    </row>
    <row r="269" spans="1:10">
      <c r="A269" t="str">
        <f>INDEX(ログ!A:A,$F$11+ROW(A268)-1)</f>
        <v xml:space="preserve">  3 :  0  0  1</v>
      </c>
      <c r="B269" s="6">
        <f>INDEX(ログ!N:N,$F$11+ROW(A268)-1)*$G$5</f>
        <v>0</v>
      </c>
      <c r="C269" s="6" t="e">
        <f t="shared" si="14"/>
        <v>#VALUE!</v>
      </c>
      <c r="D269" s="6" t="e">
        <f>SUBSTITUTE(INDEX(ログ!P:P,$F$11+ROW(A268)-1),":","")*$G$5</f>
        <v>#VALUE!</v>
      </c>
      <c r="E269" s="4"/>
      <c r="F269" s="2"/>
      <c r="G269" s="2"/>
      <c r="H269" s="5" t="e">
        <f t="shared" si="12"/>
        <v>#VALUE!</v>
      </c>
      <c r="I269" s="5" t="e">
        <f t="shared" si="13"/>
        <v>#VALUE!</v>
      </c>
      <c r="J269" s="5">
        <f>ROUNDDOWN(INDEX(ログ!S:S,$F$11+ROW(A268)-1) * $F$8,0)</f>
        <v>0</v>
      </c>
    </row>
    <row r="270" spans="1:10">
      <c r="A270" t="str">
        <f>INDEX(ログ!A:A,$F$11+ROW(A269)-1)</f>
        <v xml:space="preserve"> 10 :  0  0  0</v>
      </c>
      <c r="B270" s="6">
        <f>INDEX(ログ!N:N,$F$11+ROW(A269)-1)*$G$5</f>
        <v>16.587609210954106</v>
      </c>
      <c r="C270" s="6">
        <f t="shared" si="14"/>
        <v>16.760396806901547</v>
      </c>
      <c r="D270" s="6">
        <f>SUBSTITUTE(INDEX(ログ!P:P,$F$11+ROW(A269)-1),":","")*$G$5</f>
        <v>16.933184402848983</v>
      </c>
      <c r="E270" s="4"/>
      <c r="F270" s="2"/>
      <c r="G270" s="2"/>
      <c r="H270" s="5" t="e">
        <f t="shared" si="12"/>
        <v>#VALUE!</v>
      </c>
      <c r="I270" s="5" t="e">
        <f t="shared" si="13"/>
        <v>#VALUE!</v>
      </c>
      <c r="J270" s="5">
        <f>ROUNDDOWN(INDEX(ログ!S:S,$F$11+ROW(A269)-1) * $F$8,0)</f>
        <v>126</v>
      </c>
    </row>
    <row r="271" spans="1:10">
      <c r="A271" t="str">
        <f>INDEX(ログ!A:A,$F$11+ROW(A270)-1)</f>
        <v xml:space="preserve"> 10 :  0  0  0</v>
      </c>
      <c r="B271" s="6">
        <f>INDEX(ログ!N:N,$F$11+ROW(A270)-1)*$G$5</f>
        <v>15.896458827164352</v>
      </c>
      <c r="C271" s="6">
        <f t="shared" si="14"/>
        <v>15.896458827164352</v>
      </c>
      <c r="D271" s="6">
        <f>SUBSTITUTE(INDEX(ログ!P:P,$F$11+ROW(A270)-1),":","")*$G$5</f>
        <v>15.896458827164352</v>
      </c>
      <c r="E271" s="4"/>
      <c r="F271" s="2"/>
      <c r="G271" s="2"/>
      <c r="H271" s="5" t="e">
        <f t="shared" si="12"/>
        <v>#VALUE!</v>
      </c>
      <c r="I271" s="5" t="e">
        <f t="shared" si="13"/>
        <v>#VALUE!</v>
      </c>
      <c r="J271" s="5">
        <f>ROUNDDOWN(INDEX(ログ!S:S,$F$11+ROW(A270)-1) * $F$8,0)</f>
        <v>126</v>
      </c>
    </row>
    <row r="272" spans="1:10">
      <c r="A272" t="str">
        <f>INDEX(ログ!A:A,$F$11+ROW(A271)-1)</f>
        <v xml:space="preserve"> 10 :  0  0  0</v>
      </c>
      <c r="B272" s="6">
        <f>INDEX(ログ!N:N,$F$11+ROW(A271)-1)*$G$5</f>
        <v>14.859733251479721</v>
      </c>
      <c r="C272" s="6">
        <f t="shared" si="14"/>
        <v>14.686945655532282</v>
      </c>
      <c r="D272" s="6">
        <f>SUBSTITUTE(INDEX(ログ!P:P,$F$11+ROW(A271)-1),":","")*$G$5</f>
        <v>14.514158059584844</v>
      </c>
      <c r="E272" s="4"/>
      <c r="F272" s="2"/>
      <c r="G272" s="2"/>
      <c r="H272" s="5" t="e">
        <f t="shared" si="12"/>
        <v>#VALUE!</v>
      </c>
      <c r="I272" s="5" t="e">
        <f t="shared" si="13"/>
        <v>#VALUE!</v>
      </c>
      <c r="J272" s="5">
        <f>ROUNDDOWN(INDEX(ログ!S:S,$F$11+ROW(A271)-1) * $F$8,0)</f>
        <v>126</v>
      </c>
    </row>
    <row r="273" spans="1:10">
      <c r="A273" t="str">
        <f>INDEX(ログ!A:A,$F$11+ROW(A272)-1)</f>
        <v xml:space="preserve"> 10 :  0  0  0</v>
      </c>
      <c r="B273" s="6">
        <f>INDEX(ログ!N:N,$F$11+ROW(A272)-1)*$G$5</f>
        <v>13.82300767579509</v>
      </c>
      <c r="C273" s="6">
        <f t="shared" si="14"/>
        <v>13.82300767579509</v>
      </c>
      <c r="D273" s="6">
        <f>SUBSTITUTE(INDEX(ログ!P:P,$F$11+ROW(A272)-1),":","")*$G$5</f>
        <v>13.82300767579509</v>
      </c>
      <c r="E273" s="4"/>
      <c r="F273" s="2"/>
      <c r="G273" s="2"/>
      <c r="H273" s="5" t="e">
        <f t="shared" si="12"/>
        <v>#VALUE!</v>
      </c>
      <c r="I273" s="5" t="e">
        <f t="shared" si="13"/>
        <v>#VALUE!</v>
      </c>
      <c r="J273" s="5">
        <f>ROUNDDOWN(INDEX(ログ!S:S,$F$11+ROW(A272)-1) * $F$8,0)</f>
        <v>126</v>
      </c>
    </row>
    <row r="274" spans="1:10">
      <c r="A274" t="str">
        <f>INDEX(ログ!A:A,$F$11+ROW(A273)-1)</f>
        <v xml:space="preserve"> 10 :  0  0  0</v>
      </c>
      <c r="B274" s="6">
        <f>INDEX(ログ!N:N,$F$11+ROW(A273)-1)*$G$5</f>
        <v>12.44070690821558</v>
      </c>
      <c r="C274" s="6">
        <f t="shared" si="14"/>
        <v>13.82300767579509</v>
      </c>
      <c r="D274" s="6">
        <f>SUBSTITUTE(INDEX(ログ!P:P,$F$11+ROW(A273)-1),":","")*$G$5</f>
        <v>15.205308443374598</v>
      </c>
      <c r="E274" s="4"/>
      <c r="F274" s="2"/>
      <c r="G274" s="2"/>
      <c r="H274" s="5" t="e">
        <f t="shared" si="12"/>
        <v>#VALUE!</v>
      </c>
      <c r="I274" s="5" t="e">
        <f t="shared" si="13"/>
        <v>#VALUE!</v>
      </c>
      <c r="J274" s="5">
        <f>ROUNDDOWN(INDEX(ログ!S:S,$F$11+ROW(A273)-1) * $F$8,0)</f>
        <v>128</v>
      </c>
    </row>
    <row r="275" spans="1:10">
      <c r="A275" t="str">
        <f>INDEX(ログ!A:A,$F$11+ROW(A274)-1)</f>
        <v xml:space="preserve"> 10 :  0  0  0</v>
      </c>
      <c r="B275" s="6">
        <f>INDEX(ログ!N:N,$F$11+ROW(A274)-1)*$G$5</f>
        <v>12.095131716320703</v>
      </c>
      <c r="C275" s="6">
        <f t="shared" si="14"/>
        <v>13.304644887952772</v>
      </c>
      <c r="D275" s="6">
        <f>SUBSTITUTE(INDEX(ログ!P:P,$F$11+ROW(A274)-1),":","")*$G$5</f>
        <v>14.514158059584844</v>
      </c>
      <c r="E275" s="4"/>
      <c r="F275" s="2"/>
      <c r="G275" s="2"/>
      <c r="H275" s="5" t="e">
        <f t="shared" si="12"/>
        <v>#VALUE!</v>
      </c>
      <c r="I275" s="5" t="e">
        <f t="shared" si="13"/>
        <v>#VALUE!</v>
      </c>
      <c r="J275" s="5">
        <f>ROUNDDOWN(INDEX(ログ!S:S,$F$11+ROW(A274)-1) * $F$8,0)</f>
        <v>130</v>
      </c>
    </row>
    <row r="276" spans="1:10">
      <c r="A276" t="str">
        <f>INDEX(ログ!A:A,$F$11+ROW(A275)-1)</f>
        <v xml:space="preserve"> 10 :  0  0  0</v>
      </c>
      <c r="B276" s="6">
        <f>INDEX(ログ!N:N,$F$11+ROW(A275)-1)*$G$5</f>
        <v>10.367255756846317</v>
      </c>
      <c r="C276" s="6">
        <f t="shared" si="14"/>
        <v>12.440706908215581</v>
      </c>
      <c r="D276" s="6">
        <f>SUBSTITUTE(INDEX(ログ!P:P,$F$11+ROW(A275)-1),":","")*$G$5</f>
        <v>14.514158059584844</v>
      </c>
      <c r="E276" s="4"/>
      <c r="F276" s="2"/>
      <c r="G276" s="2"/>
      <c r="H276" s="5" t="e">
        <f t="shared" si="12"/>
        <v>#VALUE!</v>
      </c>
      <c r="I276" s="5" t="e">
        <f t="shared" si="13"/>
        <v>#VALUE!</v>
      </c>
      <c r="J276" s="5">
        <f>ROUNDDOWN(INDEX(ログ!S:S,$F$11+ROW(A275)-1) * $F$8,0)</f>
        <v>132</v>
      </c>
    </row>
    <row r="277" spans="1:10">
      <c r="A277" t="str">
        <f>INDEX(ログ!A:A,$F$11+ROW(A276)-1)</f>
        <v xml:space="preserve">  3 :  0  0  0</v>
      </c>
      <c r="B277" s="6">
        <f>INDEX(ログ!N:N,$F$11+ROW(A276)-1)*$G$5</f>
        <v>8.2938046054770531</v>
      </c>
      <c r="C277" s="6">
        <f t="shared" si="14"/>
        <v>9.6761053730565614</v>
      </c>
      <c r="D277" s="6">
        <f>SUBSTITUTE(INDEX(ログ!P:P,$F$11+ROW(A276)-1),":","")*$G$5</f>
        <v>11.058406140636071</v>
      </c>
      <c r="E277" s="4"/>
      <c r="F277" s="2"/>
      <c r="G277" s="2"/>
      <c r="H277" s="5" t="e">
        <f t="shared" si="12"/>
        <v>#VALUE!</v>
      </c>
      <c r="I277" s="5" t="e">
        <f t="shared" si="13"/>
        <v>#VALUE!</v>
      </c>
      <c r="J277" s="5">
        <f>ROUNDDOWN(INDEX(ログ!S:S,$F$11+ROW(A276)-1) * $F$8,0)</f>
        <v>134</v>
      </c>
    </row>
    <row r="278" spans="1:10">
      <c r="A278" t="str">
        <f>INDEX(ログ!A:A,$F$11+ROW(A277)-1)</f>
        <v xml:space="preserve">  3 :  0  0  0</v>
      </c>
      <c r="B278" s="6">
        <f>INDEX(ログ!N:N,$F$11+ROW(A277)-1)*$G$5</f>
        <v>10.712830948741194</v>
      </c>
      <c r="C278" s="6">
        <f t="shared" si="14"/>
        <v>10.367255756846317</v>
      </c>
      <c r="D278" s="6">
        <f>SUBSTITUTE(INDEX(ログ!P:P,$F$11+ROW(A277)-1),":","")*$G$5</f>
        <v>10.02168056495144</v>
      </c>
      <c r="E278" s="4"/>
      <c r="F278" s="2"/>
      <c r="G278" s="2"/>
      <c r="H278" s="5" t="e">
        <f t="shared" si="12"/>
        <v>#VALUE!</v>
      </c>
      <c r="I278" s="5" t="e">
        <f t="shared" si="13"/>
        <v>#VALUE!</v>
      </c>
      <c r="J278" s="5">
        <f>ROUNDDOWN(INDEX(ログ!S:S,$F$11+ROW(A277)-1) * $F$8,0)</f>
        <v>134</v>
      </c>
    </row>
    <row r="279" spans="1:10">
      <c r="A279" t="str">
        <f>INDEX(ログ!A:A,$F$11+ROW(A278)-1)</f>
        <v xml:space="preserve">  3 :  0  0  0</v>
      </c>
      <c r="B279" s="6">
        <f>INDEX(ログ!N:N,$F$11+ROW(A278)-1)*$G$5</f>
        <v>9.6761053730565632</v>
      </c>
      <c r="C279" s="6">
        <f t="shared" si="14"/>
        <v>10.02168056495144</v>
      </c>
      <c r="D279" s="6">
        <f>SUBSTITUTE(INDEX(ログ!P:P,$F$11+ROW(A278)-1),":","")*$G$5</f>
        <v>10.367255756846317</v>
      </c>
      <c r="E279" s="4"/>
      <c r="F279" s="2"/>
      <c r="G279" s="2"/>
      <c r="H279" s="5" t="e">
        <f t="shared" si="12"/>
        <v>#VALUE!</v>
      </c>
      <c r="I279" s="5" t="e">
        <f t="shared" si="13"/>
        <v>#VALUE!</v>
      </c>
      <c r="J279" s="5">
        <f>ROUNDDOWN(INDEX(ログ!S:S,$F$11+ROW(A278)-1) * $F$8,0)</f>
        <v>134</v>
      </c>
    </row>
    <row r="280" spans="1:10">
      <c r="A280" t="str">
        <f>INDEX(ログ!A:A,$F$11+ROW(A279)-1)</f>
        <v xml:space="preserve">  3 :  0  0  0</v>
      </c>
      <c r="B280" s="6">
        <f>INDEX(ログ!N:N,$F$11+ROW(A279)-1)*$G$5</f>
        <v>10.02168056495144</v>
      </c>
      <c r="C280" s="6">
        <f t="shared" si="14"/>
        <v>10.02168056495144</v>
      </c>
      <c r="D280" s="6">
        <f>SUBSTITUTE(INDEX(ログ!P:P,$F$11+ROW(A279)-1),":","")*$G$5</f>
        <v>10.02168056495144</v>
      </c>
      <c r="E280" s="4"/>
      <c r="F280" s="2"/>
      <c r="G280" s="2"/>
      <c r="H280" s="5" t="e">
        <f t="shared" si="12"/>
        <v>#VALUE!</v>
      </c>
      <c r="I280" s="5" t="e">
        <f t="shared" si="13"/>
        <v>#VALUE!</v>
      </c>
      <c r="J280" s="5">
        <f>ROUNDDOWN(INDEX(ログ!S:S,$F$11+ROW(A279)-1) * $F$8,0)</f>
        <v>134</v>
      </c>
    </row>
    <row r="281" spans="1:10">
      <c r="A281" t="str">
        <f>INDEX(ログ!A:A,$F$11+ROW(A280)-1)</f>
        <v xml:space="preserve">  3 :  0  0  0</v>
      </c>
      <c r="B281" s="6">
        <f>INDEX(ログ!N:N,$F$11+ROW(A280)-1)*$G$5</f>
        <v>10.02168056495144</v>
      </c>
      <c r="C281" s="6">
        <f t="shared" si="14"/>
        <v>10.02168056495144</v>
      </c>
      <c r="D281" s="6">
        <f>SUBSTITUTE(INDEX(ログ!P:P,$F$11+ROW(A280)-1),":","")*$G$5</f>
        <v>10.02168056495144</v>
      </c>
      <c r="E281" s="4"/>
      <c r="F281" s="2"/>
      <c r="G281" s="2"/>
      <c r="H281" s="5" t="e">
        <f t="shared" si="12"/>
        <v>#VALUE!</v>
      </c>
      <c r="I281" s="5" t="e">
        <f t="shared" si="13"/>
        <v>#VALUE!</v>
      </c>
      <c r="J281" s="5">
        <f>ROUNDDOWN(INDEX(ログ!S:S,$F$11+ROW(A280)-1) * $F$8,0)</f>
        <v>134</v>
      </c>
    </row>
    <row r="282" spans="1:10">
      <c r="A282" t="str">
        <f>INDEX(ログ!A:A,$F$11+ROW(A281)-1)</f>
        <v xml:space="preserve">  3 :  0  0  0</v>
      </c>
      <c r="B282" s="6">
        <f>INDEX(ログ!N:N,$F$11+ROW(A281)-1)*$G$5</f>
        <v>10.02168056495144</v>
      </c>
      <c r="C282" s="6">
        <f t="shared" si="14"/>
        <v>10.02168056495144</v>
      </c>
      <c r="D282" s="6">
        <f>SUBSTITUTE(INDEX(ログ!P:P,$F$11+ROW(A281)-1),":","")*$G$5</f>
        <v>10.02168056495144</v>
      </c>
      <c r="E282" s="4"/>
      <c r="F282" s="2"/>
      <c r="G282" s="2"/>
      <c r="H282" s="5" t="e">
        <f t="shared" si="12"/>
        <v>#VALUE!</v>
      </c>
      <c r="I282" s="5" t="e">
        <f t="shared" si="13"/>
        <v>#VALUE!</v>
      </c>
      <c r="J282" s="5">
        <f>ROUNDDOWN(INDEX(ログ!S:S,$F$11+ROW(A281)-1) * $F$8,0)</f>
        <v>134</v>
      </c>
    </row>
    <row r="283" spans="1:10">
      <c r="A283" t="str">
        <f>INDEX(ログ!A:A,$F$11+ROW(A282)-1)</f>
        <v xml:space="preserve">  4 :  0  0  0</v>
      </c>
      <c r="B283" s="6">
        <f>INDEX(ログ!N:N,$F$11+ROW(A282)-1)*$G$5</f>
        <v>9.6761053730565632</v>
      </c>
      <c r="C283" s="6">
        <f t="shared" si="14"/>
        <v>9.8488929690040017</v>
      </c>
      <c r="D283" s="6">
        <f>SUBSTITUTE(INDEX(ログ!P:P,$F$11+ROW(A282)-1),":","")*$G$5</f>
        <v>10.02168056495144</v>
      </c>
      <c r="E283" s="4"/>
      <c r="F283" s="2"/>
      <c r="G283" s="2"/>
      <c r="H283" s="5" t="e">
        <f t="shared" si="12"/>
        <v>#VALUE!</v>
      </c>
      <c r="I283" s="5" t="e">
        <f t="shared" si="13"/>
        <v>#VALUE!</v>
      </c>
      <c r="J283" s="5">
        <f>ROUNDDOWN(INDEX(ログ!S:S,$F$11+ROW(A282)-1) * $F$8,0)</f>
        <v>134</v>
      </c>
    </row>
    <row r="284" spans="1:10">
      <c r="A284" t="str">
        <f>INDEX(ログ!A:A,$F$11+ROW(A283)-1)</f>
        <v xml:space="preserve">  4 :  0  0  0</v>
      </c>
      <c r="B284" s="6">
        <f>INDEX(ログ!N:N,$F$11+ROW(A283)-1)*$G$5</f>
        <v>9.6761053730565632</v>
      </c>
      <c r="C284" s="6">
        <f t="shared" si="14"/>
        <v>9.6761053730565632</v>
      </c>
      <c r="D284" s="6">
        <f>SUBSTITUTE(INDEX(ログ!P:P,$F$11+ROW(A283)-1),":","")*$G$5</f>
        <v>9.6761053730565632</v>
      </c>
      <c r="E284" s="4"/>
      <c r="F284" s="2"/>
      <c r="G284" s="2"/>
      <c r="H284" s="5" t="e">
        <f t="shared" si="12"/>
        <v>#VALUE!</v>
      </c>
      <c r="I284" s="5" t="e">
        <f t="shared" si="13"/>
        <v>#VALUE!</v>
      </c>
      <c r="J284" s="5">
        <f>ROUNDDOWN(INDEX(ログ!S:S,$F$11+ROW(A283)-1) * $F$8,0)</f>
        <v>134</v>
      </c>
    </row>
    <row r="285" spans="1:10">
      <c r="A285" t="str">
        <f>INDEX(ログ!A:A,$F$11+ROW(A284)-1)</f>
        <v xml:space="preserve">  4 :  0  0  0</v>
      </c>
      <c r="B285" s="6">
        <f>INDEX(ログ!N:N,$F$11+ROW(A284)-1)*$G$5</f>
        <v>9.6761053730565632</v>
      </c>
      <c r="C285" s="6">
        <f t="shared" si="14"/>
        <v>9.8488929690040017</v>
      </c>
      <c r="D285" s="6">
        <f>SUBSTITUTE(INDEX(ログ!P:P,$F$11+ROW(A284)-1),":","")*$G$5</f>
        <v>10.02168056495144</v>
      </c>
      <c r="E285" s="4"/>
      <c r="F285" s="2"/>
      <c r="G285" s="2"/>
      <c r="H285" s="5" t="e">
        <f t="shared" si="12"/>
        <v>#VALUE!</v>
      </c>
      <c r="I285" s="5" t="e">
        <f t="shared" si="13"/>
        <v>#VALUE!</v>
      </c>
      <c r="J285" s="5">
        <f>ROUNDDOWN(INDEX(ログ!S:S,$F$11+ROW(A284)-1) * $F$8,0)</f>
        <v>134</v>
      </c>
    </row>
    <row r="286" spans="1:10">
      <c r="A286" t="str">
        <f>INDEX(ログ!A:A,$F$11+ROW(A285)-1)</f>
        <v xml:space="preserve">  4 :  0  0  0</v>
      </c>
      <c r="B286" s="6">
        <f>INDEX(ログ!N:N,$F$11+ROW(A285)-1)*$G$5</f>
        <v>9.3305301811616861</v>
      </c>
      <c r="C286" s="6">
        <f t="shared" si="14"/>
        <v>9.8488929690040017</v>
      </c>
      <c r="D286" s="6">
        <f>SUBSTITUTE(INDEX(ログ!P:P,$F$11+ROW(A285)-1),":","")*$G$5</f>
        <v>10.367255756846317</v>
      </c>
      <c r="E286" s="4"/>
      <c r="F286" s="2"/>
      <c r="G286" s="2"/>
      <c r="H286" s="5" t="e">
        <f t="shared" si="12"/>
        <v>#VALUE!</v>
      </c>
      <c r="I286" s="5" t="e">
        <f t="shared" si="13"/>
        <v>#VALUE!</v>
      </c>
      <c r="J286" s="5">
        <f>ROUNDDOWN(INDEX(ログ!S:S,$F$11+ROW(A285)-1) * $F$8,0)</f>
        <v>134</v>
      </c>
    </row>
    <row r="287" spans="1:10">
      <c r="A287" t="str">
        <f>INDEX(ログ!A:A,$F$11+ROW(A286)-1)</f>
        <v xml:space="preserve">  4 :  0  0  0</v>
      </c>
      <c r="B287" s="6">
        <f>INDEX(ログ!N:N,$F$11+ROW(A286)-1)*$G$5</f>
        <v>10.02168056495144</v>
      </c>
      <c r="C287" s="6">
        <f t="shared" si="14"/>
        <v>10.194468160898879</v>
      </c>
      <c r="D287" s="6">
        <f>SUBSTITUTE(INDEX(ログ!P:P,$F$11+ROW(A286)-1),":","")*$G$5</f>
        <v>10.367255756846317</v>
      </c>
      <c r="E287" s="4"/>
      <c r="F287" s="2"/>
      <c r="G287" s="2"/>
      <c r="H287" s="5" t="e">
        <f t="shared" si="12"/>
        <v>#VALUE!</v>
      </c>
      <c r="I287" s="5" t="e">
        <f t="shared" si="13"/>
        <v>#VALUE!</v>
      </c>
      <c r="J287" s="5">
        <f>ROUNDDOWN(INDEX(ログ!S:S,$F$11+ROW(A286)-1) * $F$8,0)</f>
        <v>134</v>
      </c>
    </row>
    <row r="288" spans="1:10">
      <c r="A288" t="str">
        <f>INDEX(ログ!A:A,$F$11+ROW(A287)-1)</f>
        <v xml:space="preserve">  4 :  0  0  0</v>
      </c>
      <c r="B288" s="6">
        <f>INDEX(ログ!N:N,$F$11+ROW(A287)-1)*$G$5</f>
        <v>9.6761053730565632</v>
      </c>
      <c r="C288" s="6">
        <f t="shared" si="14"/>
        <v>9.6761053730565632</v>
      </c>
      <c r="D288" s="6">
        <f>SUBSTITUTE(INDEX(ログ!P:P,$F$11+ROW(A287)-1),":","")*$G$5</f>
        <v>9.6761053730565632</v>
      </c>
      <c r="E288" s="4"/>
      <c r="F288" s="2"/>
      <c r="G288" s="2"/>
      <c r="H288" s="5" t="e">
        <f t="shared" si="12"/>
        <v>#VALUE!</v>
      </c>
      <c r="I288" s="5" t="e">
        <f t="shared" si="13"/>
        <v>#VALUE!</v>
      </c>
      <c r="J288" s="5">
        <f>ROUNDDOWN(INDEX(ログ!S:S,$F$11+ROW(A287)-1) * $F$8,0)</f>
        <v>134</v>
      </c>
    </row>
    <row r="289" spans="1:10">
      <c r="A289" t="str">
        <f>INDEX(ログ!A:A,$F$11+ROW(A288)-1)</f>
        <v xml:space="preserve">  4 :  0  0  0</v>
      </c>
      <c r="B289" s="6">
        <f>INDEX(ログ!N:N,$F$11+ROW(A288)-1)*$G$5</f>
        <v>9.6761053730565632</v>
      </c>
      <c r="C289" s="6">
        <f t="shared" si="14"/>
        <v>10.02168056495144</v>
      </c>
      <c r="D289" s="6">
        <f>SUBSTITUTE(INDEX(ログ!P:P,$F$11+ROW(A288)-1),":","")*$G$5</f>
        <v>10.367255756846317</v>
      </c>
      <c r="E289" s="4"/>
      <c r="F289" s="2"/>
      <c r="G289" s="2"/>
      <c r="H289" s="5" t="e">
        <f t="shared" si="12"/>
        <v>#VALUE!</v>
      </c>
      <c r="I289" s="5" t="e">
        <f t="shared" si="13"/>
        <v>#VALUE!</v>
      </c>
      <c r="J289" s="5">
        <f>ROUNDDOWN(INDEX(ログ!S:S,$F$11+ROW(A288)-1) * $F$8,0)</f>
        <v>134</v>
      </c>
    </row>
    <row r="290" spans="1:10">
      <c r="A290" t="str">
        <f>INDEX(ログ!A:A,$F$11+ROW(A289)-1)</f>
        <v xml:space="preserve"> 13 :  0  0  0</v>
      </c>
      <c r="B290" s="6">
        <f>INDEX(ログ!N:N,$F$11+ROW(A289)-1)*$G$5</f>
        <v>9.3305301811616861</v>
      </c>
      <c r="C290" s="6">
        <f t="shared" si="14"/>
        <v>9.8488929690040017</v>
      </c>
      <c r="D290" s="6">
        <f>SUBSTITUTE(INDEX(ログ!P:P,$F$11+ROW(A289)-1),":","")*$G$5</f>
        <v>10.367255756846317</v>
      </c>
      <c r="E290" s="4"/>
      <c r="F290" s="2"/>
      <c r="G290" s="2"/>
      <c r="H290" s="5" t="e">
        <f t="shared" si="12"/>
        <v>#VALUE!</v>
      </c>
      <c r="I290" s="5" t="e">
        <f t="shared" si="13"/>
        <v>#VALUE!</v>
      </c>
      <c r="J290" s="5">
        <f>ROUNDDOWN(INDEX(ログ!S:S,$F$11+ROW(A289)-1) * $F$8,0)</f>
        <v>134</v>
      </c>
    </row>
    <row r="291" spans="1:10">
      <c r="A291" t="str">
        <f>INDEX(ログ!A:A,$F$11+ROW(A290)-1)</f>
        <v xml:space="preserve"> 13 :  0  0  0</v>
      </c>
      <c r="B291" s="6">
        <f>INDEX(ログ!N:N,$F$11+ROW(A290)-1)*$G$5</f>
        <v>9.3305301811616861</v>
      </c>
      <c r="C291" s="6">
        <f t="shared" si="14"/>
        <v>8.6393797973719302</v>
      </c>
      <c r="D291" s="6">
        <f>SUBSTITUTE(INDEX(ログ!P:P,$F$11+ROW(A290)-1),":","")*$G$5</f>
        <v>7.9482294135821761</v>
      </c>
      <c r="E291" s="4"/>
      <c r="F291" s="2"/>
      <c r="G291" s="2"/>
      <c r="H291" s="5" t="e">
        <f t="shared" si="12"/>
        <v>#VALUE!</v>
      </c>
      <c r="I291" s="5" t="e">
        <f t="shared" si="13"/>
        <v>#VALUE!</v>
      </c>
      <c r="J291" s="5">
        <f>ROUNDDOWN(INDEX(ログ!S:S,$F$11+ROW(A290)-1) * $F$8,0)</f>
        <v>134</v>
      </c>
    </row>
    <row r="292" spans="1:10">
      <c r="A292" t="str">
        <f>INDEX(ログ!A:A,$F$11+ROW(A291)-1)</f>
        <v xml:space="preserve"> 13 :  0  0  0</v>
      </c>
      <c r="B292" s="6">
        <f>INDEX(ログ!N:N,$F$11+ROW(A291)-1)*$G$5</f>
        <v>9.3305301811616861</v>
      </c>
      <c r="C292" s="6">
        <f t="shared" si="14"/>
        <v>8.1210170095296164</v>
      </c>
      <c r="D292" s="6">
        <f>SUBSTITUTE(INDEX(ログ!P:P,$F$11+ROW(A291)-1),":","")*$G$5</f>
        <v>6.9115038378975449</v>
      </c>
      <c r="E292" s="4"/>
      <c r="F292" s="2"/>
      <c r="G292" s="2"/>
      <c r="H292" s="5" t="e">
        <f t="shared" si="12"/>
        <v>#VALUE!</v>
      </c>
      <c r="I292" s="5" t="e">
        <f t="shared" si="13"/>
        <v>#VALUE!</v>
      </c>
      <c r="J292" s="5">
        <f>ROUNDDOWN(INDEX(ログ!S:S,$F$11+ROW(A291)-1) * $F$8,0)</f>
        <v>132</v>
      </c>
    </row>
    <row r="293" spans="1:10">
      <c r="A293" t="str">
        <f>INDEX(ログ!A:A,$F$11+ROW(A292)-1)</f>
        <v xml:space="preserve"> 13 :  0  0  0</v>
      </c>
      <c r="B293" s="6">
        <f>INDEX(ログ!N:N,$F$11+ROW(A292)-1)*$G$5</f>
        <v>9.6761053730565632</v>
      </c>
      <c r="C293" s="6">
        <f t="shared" si="14"/>
        <v>7.602654221687299</v>
      </c>
      <c r="D293" s="6">
        <f>SUBSTITUTE(INDEX(ログ!P:P,$F$11+ROW(A292)-1),":","")*$G$5</f>
        <v>5.5292030703180357</v>
      </c>
      <c r="E293" s="4"/>
      <c r="F293" s="2"/>
      <c r="G293" s="2"/>
      <c r="H293" s="5" t="e">
        <f t="shared" si="12"/>
        <v>#VALUE!</v>
      </c>
      <c r="I293" s="5" t="e">
        <f t="shared" si="13"/>
        <v>#VALUE!</v>
      </c>
      <c r="J293" s="5">
        <f>ROUNDDOWN(INDEX(ログ!S:S,$F$11+ROW(A292)-1) * $F$8,0)</f>
        <v>130</v>
      </c>
    </row>
    <row r="294" spans="1:10">
      <c r="A294" t="str">
        <f>INDEX(ログ!A:A,$F$11+ROW(A293)-1)</f>
        <v xml:space="preserve"> 13 :  0  0  0</v>
      </c>
      <c r="B294" s="6">
        <f>INDEX(ログ!N:N,$F$11+ROW(A293)-1)*$G$5</f>
        <v>10.02168056495144</v>
      </c>
      <c r="C294" s="6">
        <f t="shared" si="14"/>
        <v>7.602654221687299</v>
      </c>
      <c r="D294" s="6">
        <f>SUBSTITUTE(INDEX(ログ!P:P,$F$11+ROW(A293)-1),":","")*$G$5</f>
        <v>5.1836278784231586</v>
      </c>
      <c r="E294" s="4"/>
      <c r="F294" s="2"/>
      <c r="G294" s="2"/>
      <c r="H294" s="5" t="e">
        <f t="shared" si="12"/>
        <v>#VALUE!</v>
      </c>
      <c r="I294" s="5" t="e">
        <f t="shared" si="13"/>
        <v>#VALUE!</v>
      </c>
      <c r="J294" s="5">
        <f>ROUNDDOWN(INDEX(ログ!S:S,$F$11+ROW(A293)-1) * $F$8,0)</f>
        <v>126</v>
      </c>
    </row>
    <row r="295" spans="1:10">
      <c r="A295" t="str">
        <f>INDEX(ログ!A:A,$F$11+ROW(A294)-1)</f>
        <v xml:space="preserve"> 13 :  0  0  0</v>
      </c>
      <c r="B295" s="6">
        <f>INDEX(ログ!N:N,$F$11+ROW(A294)-1)*$G$5</f>
        <v>10.02168056495144</v>
      </c>
      <c r="C295" s="6">
        <f t="shared" si="14"/>
        <v>7.4298666257398605</v>
      </c>
      <c r="D295" s="6">
        <f>SUBSTITUTE(INDEX(ログ!P:P,$F$11+ROW(A294)-1),":","")*$G$5</f>
        <v>4.8380526865282816</v>
      </c>
      <c r="E295" s="4"/>
      <c r="F295" s="2"/>
      <c r="G295" s="2"/>
      <c r="H295" s="5" t="e">
        <f t="shared" si="12"/>
        <v>#VALUE!</v>
      </c>
      <c r="I295" s="5" t="e">
        <f t="shared" si="13"/>
        <v>#VALUE!</v>
      </c>
      <c r="J295" s="5">
        <f>ROUNDDOWN(INDEX(ログ!S:S,$F$11+ROW(A294)-1) * $F$8,0)</f>
        <v>120</v>
      </c>
    </row>
    <row r="296" spans="1:10">
      <c r="A296" t="str">
        <f>INDEX(ログ!A:A,$F$11+ROW(A295)-1)</f>
        <v xml:space="preserve"> 13 :  0  0  0</v>
      </c>
      <c r="B296" s="6">
        <f>INDEX(ログ!N:N,$F$11+ROW(A295)-1)*$G$5</f>
        <v>9.6761053730565632</v>
      </c>
      <c r="C296" s="6">
        <f t="shared" si="14"/>
        <v>6.9115038378975449</v>
      </c>
      <c r="D296" s="6">
        <f>SUBSTITUTE(INDEX(ログ!P:P,$F$11+ROW(A295)-1),":","")*$G$5</f>
        <v>4.1469023027385266</v>
      </c>
      <c r="E296" s="4"/>
      <c r="F296" s="2"/>
      <c r="G296" s="2"/>
      <c r="H296" s="5" t="e">
        <f t="shared" si="12"/>
        <v>#VALUE!</v>
      </c>
      <c r="I296" s="5" t="e">
        <f t="shared" si="13"/>
        <v>#VALUE!</v>
      </c>
      <c r="J296" s="5">
        <f>ROUNDDOWN(INDEX(ログ!S:S,$F$11+ROW(A295)-1) * $F$8,0)</f>
        <v>116</v>
      </c>
    </row>
    <row r="297" spans="1:10">
      <c r="A297" t="str">
        <f>INDEX(ログ!A:A,$F$11+ROW(A296)-1)</f>
        <v xml:space="preserve"> 13 :  0  0  0</v>
      </c>
      <c r="B297" s="6">
        <f>INDEX(ログ!N:N,$F$11+ROW(A296)-1)*$G$5</f>
        <v>9.6761053730565632</v>
      </c>
      <c r="C297" s="6">
        <f t="shared" si="14"/>
        <v>6.7387162419501063</v>
      </c>
      <c r="D297" s="6">
        <f>SUBSTITUTE(INDEX(ログ!P:P,$F$11+ROW(A296)-1),":","")*$G$5</f>
        <v>3.8013271108436495</v>
      </c>
      <c r="E297" s="4"/>
      <c r="F297" s="2"/>
      <c r="G297" s="2"/>
      <c r="H297" s="5" t="e">
        <f t="shared" si="12"/>
        <v>#VALUE!</v>
      </c>
      <c r="I297" s="5" t="e">
        <f t="shared" si="13"/>
        <v>#VALUE!</v>
      </c>
      <c r="J297" s="5">
        <f>ROUNDDOWN(INDEX(ログ!S:S,$F$11+ROW(A296)-1) * $F$8,0)</f>
        <v>110</v>
      </c>
    </row>
    <row r="298" spans="1:10">
      <c r="A298" t="str">
        <f>INDEX(ログ!A:A,$F$11+ROW(A297)-1)</f>
        <v xml:space="preserve"> 13 :  0  0  0</v>
      </c>
      <c r="B298" s="6">
        <f>INDEX(ログ!N:N,$F$11+ROW(A297)-1)*$G$5</f>
        <v>9.3305301811616861</v>
      </c>
      <c r="C298" s="6">
        <f t="shared" si="14"/>
        <v>6.3931410500552293</v>
      </c>
      <c r="D298" s="6">
        <f>SUBSTITUTE(INDEX(ログ!P:P,$F$11+ROW(A297)-1),":","")*$G$5</f>
        <v>3.4557519189487724</v>
      </c>
      <c r="E298" s="4"/>
      <c r="F298" s="2"/>
      <c r="G298" s="2"/>
      <c r="H298" s="5" t="e">
        <f t="shared" si="12"/>
        <v>#VALUE!</v>
      </c>
      <c r="I298" s="5" t="e">
        <f t="shared" si="13"/>
        <v>#VALUE!</v>
      </c>
      <c r="J298" s="5">
        <f>ROUNDDOWN(INDEX(ログ!S:S,$F$11+ROW(A297)-1) * $F$8,0)</f>
        <v>104</v>
      </c>
    </row>
    <row r="299" spans="1:10">
      <c r="A299" t="str">
        <f>INDEX(ログ!A:A,$F$11+ROW(A298)-1)</f>
        <v xml:space="preserve"> 13 :  0  0  0</v>
      </c>
      <c r="B299" s="6">
        <f>INDEX(ログ!N:N,$F$11+ROW(A298)-1)*$G$5</f>
        <v>8.2938046054770531</v>
      </c>
      <c r="C299" s="6">
        <f t="shared" si="14"/>
        <v>5.7019906662654742</v>
      </c>
      <c r="D299" s="6">
        <f>SUBSTITUTE(INDEX(ログ!P:P,$F$11+ROW(A298)-1),":","")*$G$5</f>
        <v>3.1101767270538949</v>
      </c>
      <c r="E299" s="4"/>
      <c r="F299" s="2"/>
      <c r="G299" s="2"/>
      <c r="H299" s="5" t="e">
        <f t="shared" si="12"/>
        <v>#VALUE!</v>
      </c>
      <c r="I299" s="5" t="e">
        <f t="shared" si="13"/>
        <v>#VALUE!</v>
      </c>
      <c r="J299" s="5">
        <f>ROUNDDOWN(INDEX(ログ!S:S,$F$11+ROW(A298)-1) * $F$8,0)</f>
        <v>100</v>
      </c>
    </row>
    <row r="300" spans="1:10">
      <c r="A300" t="str">
        <f>INDEX(ログ!A:A,$F$11+ROW(A299)-1)</f>
        <v xml:space="preserve"> 13 :  0  0  0</v>
      </c>
      <c r="B300" s="6">
        <f>INDEX(ログ!N:N,$F$11+ROW(A299)-1)*$G$5</f>
        <v>7.9482294135821761</v>
      </c>
      <c r="C300" s="6">
        <f t="shared" si="14"/>
        <v>5.3564154743705972</v>
      </c>
      <c r="D300" s="6">
        <f>SUBSTITUTE(INDEX(ログ!P:P,$F$11+ROW(A299)-1),":","")*$G$5</f>
        <v>2.7646015351590179</v>
      </c>
      <c r="E300" s="4"/>
      <c r="F300" s="2"/>
      <c r="G300" s="2"/>
      <c r="H300" s="5" t="e">
        <f t="shared" si="12"/>
        <v>#VALUE!</v>
      </c>
      <c r="I300" s="5" t="e">
        <f t="shared" si="13"/>
        <v>#VALUE!</v>
      </c>
      <c r="J300" s="5">
        <f>ROUNDDOWN(INDEX(ログ!S:S,$F$11+ROW(A299)-1) * $F$8,0)</f>
        <v>94</v>
      </c>
    </row>
    <row r="301" spans="1:10">
      <c r="A301" t="str">
        <f>INDEX(ログ!A:A,$F$11+ROW(A300)-1)</f>
        <v xml:space="preserve">  0 :  0  0  1</v>
      </c>
      <c r="B301" s="6">
        <f>INDEX(ログ!N:N,$F$11+ROW(A300)-1)*$G$5</f>
        <v>7.2570790297924219</v>
      </c>
      <c r="C301" s="6">
        <f t="shared" si="14"/>
        <v>5.3564154743705972</v>
      </c>
      <c r="D301" s="6">
        <f>SUBSTITUTE(INDEX(ログ!P:P,$F$11+ROW(A300)-1),":","")*$G$5</f>
        <v>3.4557519189487724</v>
      </c>
      <c r="E301" s="4"/>
      <c r="F301" s="2"/>
      <c r="G301" s="2"/>
      <c r="H301" s="5" t="e">
        <f t="shared" si="12"/>
        <v>#VALUE!</v>
      </c>
      <c r="I301" s="5" t="e">
        <f t="shared" si="13"/>
        <v>#VALUE!</v>
      </c>
      <c r="J301" s="5">
        <f>ROUNDDOWN(INDEX(ログ!S:S,$F$11+ROW(A300)-1) * $F$8,0)</f>
        <v>90</v>
      </c>
    </row>
    <row r="302" spans="1:10">
      <c r="A302" t="str">
        <f>INDEX(ログ!A:A,$F$11+ROW(A301)-1)</f>
        <v xml:space="preserve">  0 :  0  0  1</v>
      </c>
      <c r="B302" s="6">
        <f>INDEX(ログ!N:N,$F$11+ROW(A301)-1)*$G$5</f>
        <v>6.9115038378975449</v>
      </c>
      <c r="C302" s="6">
        <f t="shared" si="14"/>
        <v>6.3931410500552293</v>
      </c>
      <c r="D302" s="6">
        <f>SUBSTITUTE(INDEX(ログ!P:P,$F$11+ROW(A301)-1),":","")*$G$5</f>
        <v>5.8747782622129128</v>
      </c>
      <c r="E302" s="4"/>
      <c r="F302" s="2"/>
      <c r="G302" s="2"/>
      <c r="H302" s="5" t="e">
        <f t="shared" si="12"/>
        <v>#VALUE!</v>
      </c>
      <c r="I302" s="5" t="e">
        <f t="shared" si="13"/>
        <v>#VALUE!</v>
      </c>
      <c r="J302" s="5">
        <f>ROUNDDOWN(INDEX(ログ!S:S,$F$11+ROW(A301)-1) * $F$8,0)</f>
        <v>88</v>
      </c>
    </row>
    <row r="303" spans="1:10">
      <c r="A303" t="str">
        <f>INDEX(ログ!A:A,$F$11+ROW(A302)-1)</f>
        <v xml:space="preserve">  0 :  0  0  1</v>
      </c>
      <c r="B303" s="6">
        <f>INDEX(ログ!N:N,$F$11+ROW(A302)-1)*$G$5</f>
        <v>6.5659286460026678</v>
      </c>
      <c r="C303" s="6">
        <f t="shared" si="14"/>
        <v>6.7387162419501063</v>
      </c>
      <c r="D303" s="6">
        <f>SUBSTITUTE(INDEX(ログ!P:P,$F$11+ROW(A302)-1),":","")*$G$5</f>
        <v>6.9115038378975449</v>
      </c>
      <c r="E303" s="4"/>
      <c r="F303" s="2"/>
      <c r="G303" s="2"/>
      <c r="H303" s="5" t="e">
        <f t="shared" si="12"/>
        <v>#VALUE!</v>
      </c>
      <c r="I303" s="5" t="e">
        <f t="shared" si="13"/>
        <v>#VALUE!</v>
      </c>
      <c r="J303" s="5">
        <f>ROUNDDOWN(INDEX(ログ!S:S,$F$11+ROW(A302)-1) * $F$8,0)</f>
        <v>88</v>
      </c>
    </row>
    <row r="304" spans="1:10">
      <c r="A304" t="str">
        <f>INDEX(ログ!A:A,$F$11+ROW(A303)-1)</f>
        <v xml:space="preserve">  0 :  0  0  1</v>
      </c>
      <c r="B304" s="6">
        <f>INDEX(ログ!N:N,$F$11+ROW(A303)-1)*$G$5</f>
        <v>7.9482294135821761</v>
      </c>
      <c r="C304" s="6">
        <f t="shared" si="14"/>
        <v>7.602654221687299</v>
      </c>
      <c r="D304" s="6">
        <f>SUBSTITUTE(INDEX(ログ!P:P,$F$11+ROW(A303)-1),":","")*$G$5</f>
        <v>7.2570790297924219</v>
      </c>
      <c r="E304" s="4"/>
      <c r="F304" s="2"/>
      <c r="G304" s="2"/>
      <c r="H304" s="5" t="e">
        <f t="shared" si="12"/>
        <v>#VALUE!</v>
      </c>
      <c r="I304" s="5" t="e">
        <f t="shared" si="13"/>
        <v>#VALUE!</v>
      </c>
      <c r="J304" s="5">
        <f>ROUNDDOWN(INDEX(ログ!S:S,$F$11+ROW(A303)-1) * $F$8,0)</f>
        <v>88</v>
      </c>
    </row>
    <row r="305" spans="1:10">
      <c r="A305" t="str">
        <f>INDEX(ログ!A:A,$F$11+ROW(A304)-1)</f>
        <v xml:space="preserve">  0 :  0  0  1</v>
      </c>
      <c r="B305" s="6">
        <f>INDEX(ログ!N:N,$F$11+ROW(A304)-1)*$G$5</f>
        <v>11.749556524425826</v>
      </c>
      <c r="C305" s="6">
        <f t="shared" si="14"/>
        <v>10.194468160898879</v>
      </c>
      <c r="D305" s="6">
        <f>SUBSTITUTE(INDEX(ログ!P:P,$F$11+ROW(A304)-1),":","")*$G$5</f>
        <v>8.6393797973719302</v>
      </c>
      <c r="E305" s="4"/>
      <c r="F305" s="2"/>
      <c r="G305" s="2"/>
      <c r="H305" s="5" t="e">
        <f t="shared" si="12"/>
        <v>#VALUE!</v>
      </c>
      <c r="I305" s="5" t="e">
        <f t="shared" si="13"/>
        <v>#VALUE!</v>
      </c>
      <c r="J305" s="5">
        <f>ROUNDDOWN(INDEX(ログ!S:S,$F$11+ROW(A304)-1) * $F$8,0)</f>
        <v>88</v>
      </c>
    </row>
    <row r="306" spans="1:10">
      <c r="A306" t="str">
        <f>INDEX(ログ!A:A,$F$11+ROW(A305)-1)</f>
        <v xml:space="preserve">  0 :  0  0  1</v>
      </c>
      <c r="B306" s="6">
        <f>INDEX(ログ!N:N,$F$11+ROW(A305)-1)*$G$5</f>
        <v>17.969909978533614</v>
      </c>
      <c r="C306" s="6">
        <f t="shared" si="14"/>
        <v>14.168582867689967</v>
      </c>
      <c r="D306" s="6">
        <f>SUBSTITUTE(INDEX(ログ!P:P,$F$11+ROW(A305)-1),":","")*$G$5</f>
        <v>10.367255756846317</v>
      </c>
      <c r="E306" s="4"/>
      <c r="F306" s="2"/>
      <c r="G306" s="2"/>
      <c r="H306" s="5" t="e">
        <f t="shared" si="12"/>
        <v>#VALUE!</v>
      </c>
      <c r="I306" s="5" t="e">
        <f t="shared" si="13"/>
        <v>#VALUE!</v>
      </c>
      <c r="J306" s="5">
        <f>ROUNDDOWN(INDEX(ログ!S:S,$F$11+ROW(A305)-1) * $F$8,0)</f>
        <v>90</v>
      </c>
    </row>
    <row r="307" spans="1:10">
      <c r="A307" t="str">
        <f>INDEX(ログ!A:A,$F$11+ROW(A306)-1)</f>
        <v xml:space="preserve">  0 :  0  0  1</v>
      </c>
      <c r="B307" s="6">
        <f>INDEX(ログ!N:N,$F$11+ROW(A306)-1)*$G$5</f>
        <v>25.572564200220913</v>
      </c>
      <c r="C307" s="6">
        <f t="shared" si="14"/>
        <v>18.833847958270809</v>
      </c>
      <c r="D307" s="6">
        <f>SUBSTITUTE(INDEX(ログ!P:P,$F$11+ROW(A306)-1),":","")*$G$5</f>
        <v>12.095131716320703</v>
      </c>
      <c r="E307" s="4"/>
      <c r="F307" s="2"/>
      <c r="G307" s="2"/>
      <c r="H307" s="5" t="e">
        <f t="shared" si="12"/>
        <v>#VALUE!</v>
      </c>
      <c r="I307" s="5" t="e">
        <f t="shared" si="13"/>
        <v>#VALUE!</v>
      </c>
      <c r="J307" s="5">
        <f>ROUNDDOWN(INDEX(ログ!S:S,$F$11+ROW(A306)-1) * $F$8,0)</f>
        <v>90</v>
      </c>
    </row>
    <row r="308" spans="1:10">
      <c r="A308" t="str">
        <f>INDEX(ログ!A:A,$F$11+ROW(A307)-1)</f>
        <v xml:space="preserve">  0 :  0  0  1</v>
      </c>
      <c r="B308" s="6">
        <f>INDEX(ログ!N:N,$F$11+ROW(A307)-1)*$G$5</f>
        <v>26.263714584010671</v>
      </c>
      <c r="C308" s="6">
        <f t="shared" si="14"/>
        <v>19.006635554218249</v>
      </c>
      <c r="D308" s="6">
        <f>SUBSTITUTE(INDEX(ログ!P:P,$F$11+ROW(A307)-1),":","")*$G$5</f>
        <v>11.749556524425826</v>
      </c>
      <c r="E308" s="4"/>
      <c r="F308" s="2"/>
      <c r="G308" s="2"/>
      <c r="H308" s="5" t="e">
        <f t="shared" si="12"/>
        <v>#VALUE!</v>
      </c>
      <c r="I308" s="5" t="e">
        <f t="shared" si="13"/>
        <v>#VALUE!</v>
      </c>
      <c r="J308" s="5">
        <f>ROUNDDOWN(INDEX(ログ!S:S,$F$11+ROW(A307)-1) * $F$8,0)</f>
        <v>92</v>
      </c>
    </row>
    <row r="309" spans="1:10">
      <c r="A309" t="str">
        <f>INDEX(ログ!A:A,$F$11+ROW(A308)-1)</f>
        <v xml:space="preserve">  0 :  0  0  1</v>
      </c>
      <c r="B309" s="6">
        <f>INDEX(ログ!N:N,$F$11+ROW(A308)-1)*$G$5</f>
        <v>25.572564200220913</v>
      </c>
      <c r="C309" s="6">
        <f t="shared" si="14"/>
        <v>19.006635554218246</v>
      </c>
      <c r="D309" s="6">
        <f>SUBSTITUTE(INDEX(ログ!P:P,$F$11+ROW(A308)-1),":","")*$G$5</f>
        <v>12.44070690821558</v>
      </c>
      <c r="E309" s="4"/>
      <c r="F309" s="2"/>
      <c r="G309" s="2"/>
      <c r="H309" s="5" t="e">
        <f t="shared" si="12"/>
        <v>#VALUE!</v>
      </c>
      <c r="I309" s="5" t="e">
        <f t="shared" si="13"/>
        <v>#VALUE!</v>
      </c>
      <c r="J309" s="5">
        <f>ROUNDDOWN(INDEX(ログ!S:S,$F$11+ROW(A308)-1) * $F$8,0)</f>
        <v>94</v>
      </c>
    </row>
    <row r="310" spans="1:10">
      <c r="A310" t="str">
        <f>INDEX(ログ!A:A,$F$11+ROW(A309)-1)</f>
        <v xml:space="preserve">  0 :  0  0  1</v>
      </c>
      <c r="B310" s="6">
        <f>INDEX(ログ!N:N,$F$11+ROW(A309)-1)*$G$5</f>
        <v>23.844688240746528</v>
      </c>
      <c r="C310" s="6">
        <f t="shared" si="14"/>
        <v>18.142697574481055</v>
      </c>
      <c r="D310" s="6">
        <f>SUBSTITUTE(INDEX(ログ!P:P,$F$11+ROW(A309)-1),":","")*$G$5</f>
        <v>12.44070690821558</v>
      </c>
      <c r="E310" s="4"/>
      <c r="F310" s="2"/>
      <c r="G310" s="2"/>
      <c r="H310" s="5" t="e">
        <f t="shared" si="12"/>
        <v>#VALUE!</v>
      </c>
      <c r="I310" s="5" t="e">
        <f t="shared" si="13"/>
        <v>#VALUE!</v>
      </c>
      <c r="J310" s="5">
        <f>ROUNDDOWN(INDEX(ログ!S:S,$F$11+ROW(A309)-1) * $F$8,0)</f>
        <v>92</v>
      </c>
    </row>
    <row r="311" spans="1:10">
      <c r="A311" t="str">
        <f>INDEX(ログ!A:A,$F$11+ROW(A310)-1)</f>
        <v xml:space="preserve">  0 :  0  0  1</v>
      </c>
      <c r="B311" s="6">
        <f>INDEX(ログ!N:N,$F$11+ROW(A310)-1)*$G$5</f>
        <v>20.04336112990288</v>
      </c>
      <c r="C311" s="6">
        <f t="shared" si="14"/>
        <v>16.933184402848987</v>
      </c>
      <c r="D311" s="6">
        <f>SUBSTITUTE(INDEX(ログ!P:P,$F$11+ROW(A310)-1),":","")*$G$5</f>
        <v>13.82300767579509</v>
      </c>
      <c r="E311" s="4"/>
      <c r="F311" s="2"/>
      <c r="G311" s="2"/>
      <c r="H311" s="5" t="e">
        <f t="shared" si="12"/>
        <v>#VALUE!</v>
      </c>
      <c r="I311" s="5" t="e">
        <f t="shared" si="13"/>
        <v>#VALUE!</v>
      </c>
      <c r="J311" s="5">
        <f>ROUNDDOWN(INDEX(ログ!S:S,$F$11+ROW(A310)-1) * $F$8,0)</f>
        <v>90</v>
      </c>
    </row>
    <row r="312" spans="1:10">
      <c r="A312" t="str">
        <f>INDEX(ログ!A:A,$F$11+ROW(A311)-1)</f>
        <v xml:space="preserve">  0 :  0  0  1</v>
      </c>
      <c r="B312" s="6">
        <f>INDEX(ログ!N:N,$F$11+ROW(A311)-1)*$G$5</f>
        <v>29.028316119169688</v>
      </c>
      <c r="C312" s="6">
        <f t="shared" si="14"/>
        <v>25.918139392115791</v>
      </c>
      <c r="D312" s="6">
        <f>SUBSTITUTE(INDEX(ログ!P:P,$F$11+ROW(A311)-1),":","")*$G$5</f>
        <v>22.807962665061897</v>
      </c>
      <c r="E312" s="4"/>
      <c r="F312" s="2"/>
      <c r="G312" s="2"/>
      <c r="H312" s="5" t="e">
        <f t="shared" si="12"/>
        <v>#VALUE!</v>
      </c>
      <c r="I312" s="5" t="e">
        <f t="shared" si="13"/>
        <v>#VALUE!</v>
      </c>
      <c r="J312" s="5">
        <f>ROUNDDOWN(INDEX(ログ!S:S,$F$11+ROW(A311)-1) * $F$8,0)</f>
        <v>86</v>
      </c>
    </row>
    <row r="313" spans="1:10">
      <c r="A313" t="str">
        <f>INDEX(ログ!A:A,$F$11+ROW(A312)-1)</f>
        <v xml:space="preserve">  0 :  0  0  1</v>
      </c>
      <c r="B313" s="6">
        <f>INDEX(ログ!N:N,$F$11+ROW(A312)-1)*$G$5</f>
        <v>24.535838624536282</v>
      </c>
      <c r="C313" s="6">
        <f t="shared" si="14"/>
        <v>22.807962665061897</v>
      </c>
      <c r="D313" s="6">
        <f>SUBSTITUTE(INDEX(ログ!P:P,$F$11+ROW(A312)-1),":","")*$G$5</f>
        <v>21.080086705587512</v>
      </c>
      <c r="E313" s="4"/>
      <c r="F313" s="2"/>
      <c r="G313" s="2"/>
      <c r="H313" s="5" t="e">
        <f t="shared" si="12"/>
        <v>#VALUE!</v>
      </c>
      <c r="I313" s="5" t="e">
        <f t="shared" si="13"/>
        <v>#VALUE!</v>
      </c>
      <c r="J313" s="5">
        <f>ROUNDDOWN(INDEX(ログ!S:S,$F$11+ROW(A312)-1) * $F$8,0)</f>
        <v>84</v>
      </c>
    </row>
    <row r="314" spans="1:10">
      <c r="A314" t="str">
        <f>INDEX(ログ!A:A,$F$11+ROW(A313)-1)</f>
        <v xml:space="preserve">  0 :  0  0  1</v>
      </c>
      <c r="B314" s="6">
        <f>INDEX(ログ!N:N,$F$11+ROW(A313)-1)*$G$5</f>
        <v>20.734511513692635</v>
      </c>
      <c r="C314" s="6">
        <f t="shared" si="14"/>
        <v>21.425661897482389</v>
      </c>
      <c r="D314" s="6">
        <f>SUBSTITUTE(INDEX(ログ!P:P,$F$11+ROW(A313)-1),":","")*$G$5</f>
        <v>22.116812281272143</v>
      </c>
      <c r="E314" s="4"/>
      <c r="F314" s="2"/>
      <c r="G314" s="2"/>
      <c r="H314" s="5" t="e">
        <f t="shared" si="12"/>
        <v>#VALUE!</v>
      </c>
      <c r="I314" s="5" t="e">
        <f t="shared" si="13"/>
        <v>#VALUE!</v>
      </c>
      <c r="J314" s="5">
        <f>ROUNDDOWN(INDEX(ログ!S:S,$F$11+ROW(A313)-1) * $F$8,0)</f>
        <v>82</v>
      </c>
    </row>
    <row r="315" spans="1:10">
      <c r="A315" t="str">
        <f>INDEX(ログ!A:A,$F$11+ROW(A314)-1)</f>
        <v xml:space="preserve">  0 :  0  0  1</v>
      </c>
      <c r="B315" s="6">
        <f>INDEX(ログ!N:N,$F$11+ROW(A314)-1)*$G$5</f>
        <v>21.771237089377266</v>
      </c>
      <c r="C315" s="6">
        <f t="shared" si="14"/>
        <v>24.017475836693968</v>
      </c>
      <c r="D315" s="6">
        <f>SUBSTITUTE(INDEX(ログ!P:P,$F$11+ROW(A314)-1),":","")*$G$5</f>
        <v>26.263714584010671</v>
      </c>
      <c r="E315" s="4"/>
      <c r="F315" s="2"/>
      <c r="G315" s="2"/>
      <c r="H315" s="5" t="e">
        <f t="shared" si="12"/>
        <v>#VALUE!</v>
      </c>
      <c r="I315" s="5" t="e">
        <f t="shared" si="13"/>
        <v>#VALUE!</v>
      </c>
      <c r="J315" s="5">
        <f>ROUNDDOWN(INDEX(ログ!S:S,$F$11+ROW(A314)-1) * $F$8,0)</f>
        <v>80</v>
      </c>
    </row>
    <row r="316" spans="1:10">
      <c r="A316" t="str">
        <f>INDEX(ログ!A:A,$F$11+ROW(A315)-1)</f>
        <v xml:space="preserve">  0 :  0  0  1</v>
      </c>
      <c r="B316" s="6">
        <f>INDEX(ログ!N:N,$F$11+ROW(A315)-1)*$G$5</f>
        <v>21.080086705587512</v>
      </c>
      <c r="C316" s="6">
        <f t="shared" si="14"/>
        <v>23.326325452904214</v>
      </c>
      <c r="D316" s="6">
        <f>SUBSTITUTE(INDEX(ログ!P:P,$F$11+ROW(A315)-1),":","")*$G$5</f>
        <v>25.572564200220913</v>
      </c>
      <c r="E316" s="4"/>
      <c r="F316" s="2"/>
      <c r="G316" s="2"/>
      <c r="H316" s="5" t="e">
        <f t="shared" si="12"/>
        <v>#VALUE!</v>
      </c>
      <c r="I316" s="5" t="e">
        <f t="shared" si="13"/>
        <v>#VALUE!</v>
      </c>
      <c r="J316" s="5">
        <f>ROUNDDOWN(INDEX(ログ!S:S,$F$11+ROW(A315)-1) * $F$8,0)</f>
        <v>80</v>
      </c>
    </row>
    <row r="317" spans="1:10">
      <c r="A317" t="str">
        <f>INDEX(ログ!A:A,$F$11+ROW(A316)-1)</f>
        <v xml:space="preserve">  0 :  0  0  1</v>
      </c>
      <c r="B317" s="6">
        <f>INDEX(ログ!N:N,$F$11+ROW(A316)-1)*$G$5</f>
        <v>20.388936321797758</v>
      </c>
      <c r="C317" s="6">
        <f t="shared" si="14"/>
        <v>23.153537856956774</v>
      </c>
      <c r="D317" s="6">
        <f>SUBSTITUTE(INDEX(ログ!P:P,$F$11+ROW(A316)-1),":","")*$G$5</f>
        <v>25.918139392115794</v>
      </c>
      <c r="E317" s="4"/>
      <c r="F317" s="2"/>
      <c r="G317" s="2"/>
      <c r="H317" s="5" t="e">
        <f t="shared" si="12"/>
        <v>#VALUE!</v>
      </c>
      <c r="I317" s="5" t="e">
        <f t="shared" si="13"/>
        <v>#VALUE!</v>
      </c>
      <c r="J317" s="5">
        <f>ROUNDDOWN(INDEX(ログ!S:S,$F$11+ROW(A316)-1) * $F$8,0)</f>
        <v>80</v>
      </c>
    </row>
    <row r="318" spans="1:10">
      <c r="A318" t="str">
        <f>INDEX(ログ!A:A,$F$11+ROW(A317)-1)</f>
        <v xml:space="preserve">  0 :  0  0  1</v>
      </c>
      <c r="B318" s="6">
        <f>INDEX(ログ!N:N,$F$11+ROW(A317)-1)*$G$5</f>
        <v>21.425661897482389</v>
      </c>
      <c r="C318" s="6">
        <f t="shared" si="14"/>
        <v>24.190263432641409</v>
      </c>
      <c r="D318" s="6">
        <f>SUBSTITUTE(INDEX(ログ!P:P,$F$11+ROW(A317)-1),":","")*$G$5</f>
        <v>26.954864967800425</v>
      </c>
      <c r="E318" s="4"/>
      <c r="F318" s="2"/>
      <c r="G318" s="2"/>
      <c r="H318" s="5" t="e">
        <f t="shared" si="12"/>
        <v>#VALUE!</v>
      </c>
      <c r="I318" s="5" t="e">
        <f t="shared" si="13"/>
        <v>#VALUE!</v>
      </c>
      <c r="J318" s="5">
        <f>ROUNDDOWN(INDEX(ログ!S:S,$F$11+ROW(A317)-1) * $F$8,0)</f>
        <v>80</v>
      </c>
    </row>
    <row r="319" spans="1:10">
      <c r="A319" t="str">
        <f>INDEX(ログ!A:A,$F$11+ROW(A318)-1)</f>
        <v xml:space="preserve">  0 :  0  0  1</v>
      </c>
      <c r="B319" s="6">
        <f>INDEX(ログ!N:N,$F$11+ROW(A318)-1)*$G$5</f>
        <v>22.46238747316702</v>
      </c>
      <c r="C319" s="6">
        <f t="shared" si="14"/>
        <v>23.844688240746528</v>
      </c>
      <c r="D319" s="6">
        <f>SUBSTITUTE(INDEX(ログ!P:P,$F$11+ROW(A318)-1),":","")*$G$5</f>
        <v>25.226989008326036</v>
      </c>
      <c r="E319" s="4"/>
      <c r="F319" s="2"/>
      <c r="G319" s="2"/>
      <c r="H319" s="5" t="e">
        <f t="shared" ref="H319:H382" si="15">H318+(C319*COS(RADIANS(J318)))</f>
        <v>#VALUE!</v>
      </c>
      <c r="I319" s="5" t="e">
        <f t="shared" ref="I319:I382" si="16">I318+(C319*SIN(RADIANS(J318)))</f>
        <v>#VALUE!</v>
      </c>
      <c r="J319" s="5">
        <f>ROUNDDOWN(INDEX(ログ!S:S,$F$11+ROW(A318)-1) * $F$8,0)</f>
        <v>80</v>
      </c>
    </row>
    <row r="320" spans="1:10">
      <c r="A320" t="str">
        <f>INDEX(ログ!A:A,$F$11+ROW(A319)-1)</f>
        <v xml:space="preserve">  0 :  0  0  1</v>
      </c>
      <c r="B320" s="6">
        <f>INDEX(ログ!N:N,$F$11+ROW(A319)-1)*$G$5</f>
        <v>24.535838624536282</v>
      </c>
      <c r="C320" s="6">
        <f t="shared" si="14"/>
        <v>24.708626220483723</v>
      </c>
      <c r="D320" s="6">
        <f>SUBSTITUTE(INDEX(ログ!P:P,$F$11+ROW(A319)-1),":","")*$G$5</f>
        <v>24.881413816431159</v>
      </c>
      <c r="E320" s="4"/>
      <c r="F320" s="2"/>
      <c r="G320" s="2"/>
      <c r="H320" s="5" t="e">
        <f t="shared" si="15"/>
        <v>#VALUE!</v>
      </c>
      <c r="I320" s="5" t="e">
        <f t="shared" si="16"/>
        <v>#VALUE!</v>
      </c>
      <c r="J320" s="5">
        <f>ROUNDDOWN(INDEX(ログ!S:S,$F$11+ROW(A319)-1) * $F$8,0)</f>
        <v>82</v>
      </c>
    </row>
    <row r="321" spans="1:10">
      <c r="A321" t="str">
        <f>INDEX(ログ!A:A,$F$11+ROW(A320)-1)</f>
        <v xml:space="preserve">  0 :  0  0  1</v>
      </c>
      <c r="B321" s="6">
        <f>INDEX(ログ!N:N,$F$11+ROW(A320)-1)*$G$5</f>
        <v>30.065041694854319</v>
      </c>
      <c r="C321" s="6">
        <f t="shared" si="14"/>
        <v>28.164378139432493</v>
      </c>
      <c r="D321" s="6">
        <f>SUBSTITUTE(INDEX(ログ!P:P,$F$11+ROW(A320)-1),":","")*$G$5</f>
        <v>26.263714584010671</v>
      </c>
      <c r="E321" s="4"/>
      <c r="F321" s="2"/>
      <c r="G321" s="2"/>
      <c r="H321" s="5" t="e">
        <f t="shared" si="15"/>
        <v>#VALUE!</v>
      </c>
      <c r="I321" s="5" t="e">
        <f t="shared" si="16"/>
        <v>#VALUE!</v>
      </c>
      <c r="J321" s="5">
        <f>ROUNDDOWN(INDEX(ログ!S:S,$F$11+ROW(A320)-1) * $F$8,0)</f>
        <v>84</v>
      </c>
    </row>
    <row r="322" spans="1:10">
      <c r="A322" t="str">
        <f>INDEX(ログ!A:A,$F$11+ROW(A321)-1)</f>
        <v xml:space="preserve">  0 :  0  0  1</v>
      </c>
      <c r="B322" s="6">
        <f>INDEX(ログ!N:N,$F$11+ROW(A321)-1)*$G$5</f>
        <v>27.300440159695302</v>
      </c>
      <c r="C322" s="6">
        <f t="shared" si="14"/>
        <v>25.918139392115791</v>
      </c>
      <c r="D322" s="6">
        <f>SUBSTITUTE(INDEX(ログ!P:P,$F$11+ROW(A321)-1),":","")*$G$5</f>
        <v>24.535838624536282</v>
      </c>
      <c r="E322" s="4"/>
      <c r="F322" s="2"/>
      <c r="G322" s="2"/>
      <c r="H322" s="5" t="e">
        <f t="shared" si="15"/>
        <v>#VALUE!</v>
      </c>
      <c r="I322" s="5" t="e">
        <f t="shared" si="16"/>
        <v>#VALUE!</v>
      </c>
      <c r="J322" s="5">
        <f>ROUNDDOWN(INDEX(ログ!S:S,$F$11+ROW(A321)-1) * $F$8,0)</f>
        <v>84</v>
      </c>
    </row>
    <row r="323" spans="1:10">
      <c r="A323" t="str">
        <f>INDEX(ログ!A:A,$F$11+ROW(A322)-1)</f>
        <v xml:space="preserve">  0 :  0  0  1</v>
      </c>
      <c r="B323" s="6">
        <f>INDEX(ログ!N:N,$F$11+ROW(A322)-1)*$G$5</f>
        <v>25.918139392115794</v>
      </c>
      <c r="C323" s="6">
        <f t="shared" ref="C323" si="17">(B323+D323)/2</f>
        <v>24.708626220483723</v>
      </c>
      <c r="D323" s="6">
        <f>SUBSTITUTE(INDEX(ログ!P:P,$F$11+ROW(A322)-1),":","")*$G$5</f>
        <v>23.499113048851651</v>
      </c>
      <c r="E323" s="4"/>
      <c r="F323" s="2"/>
      <c r="G323" s="2"/>
      <c r="H323" s="5" t="e">
        <f t="shared" si="15"/>
        <v>#VALUE!</v>
      </c>
      <c r="I323" s="5" t="e">
        <f t="shared" si="16"/>
        <v>#VALUE!</v>
      </c>
      <c r="J323" s="5">
        <f>ROUNDDOWN(INDEX(ログ!S:S,$F$11+ROW(A322)-1) * $F$8,0)</f>
        <v>84</v>
      </c>
    </row>
    <row r="324" spans="1:10">
      <c r="A324" t="str">
        <f>INDEX(ログ!A:A,$F$11+ROW(A323)-1)</f>
        <v xml:space="preserve">  0 :  0  0  1</v>
      </c>
      <c r="B324" s="6">
        <f>INDEX(ログ!N:N,$F$11+ROW(A323)-1)*$G$5</f>
        <v>22.807962665061897</v>
      </c>
      <c r="C324" s="6">
        <f t="shared" si="14"/>
        <v>20.216148725850317</v>
      </c>
      <c r="D324" s="6">
        <f>SUBSTITUTE(INDEX(ログ!P:P,$F$11+ROW(A323)-1),":","")*$G$5</f>
        <v>17.624334786638737</v>
      </c>
      <c r="E324" s="4"/>
      <c r="F324" s="2"/>
      <c r="G324" s="2"/>
      <c r="H324" s="5" t="e">
        <f t="shared" si="15"/>
        <v>#VALUE!</v>
      </c>
      <c r="I324" s="5" t="e">
        <f t="shared" si="16"/>
        <v>#VALUE!</v>
      </c>
      <c r="J324" s="5">
        <f>ROUNDDOWN(INDEX(ログ!S:S,$F$11+ROW(A323)-1) * $F$8,0)</f>
        <v>84</v>
      </c>
    </row>
    <row r="325" spans="1:10">
      <c r="A325" t="str">
        <f>INDEX(ログ!A:A,$F$11+ROW(A324)-1)</f>
        <v xml:space="preserve">  0 :  0  0  1</v>
      </c>
      <c r="B325" s="6">
        <f>INDEX(ログ!N:N,$F$11+ROW(A324)-1)*$G$5</f>
        <v>21.425661897482389</v>
      </c>
      <c r="C325" s="6">
        <f t="shared" ref="C325:C388" si="18">(B325+D325)/2</f>
        <v>20.216148725850317</v>
      </c>
      <c r="D325" s="6">
        <f>SUBSTITUTE(INDEX(ログ!P:P,$F$11+ROW(A324)-1),":","")*$G$5</f>
        <v>19.006635554218249</v>
      </c>
      <c r="E325" s="4"/>
      <c r="F325" s="2"/>
      <c r="G325" s="2"/>
      <c r="H325" s="5" t="e">
        <f t="shared" si="15"/>
        <v>#VALUE!</v>
      </c>
      <c r="I325" s="5" t="e">
        <f t="shared" si="16"/>
        <v>#VALUE!</v>
      </c>
      <c r="J325" s="5">
        <f>ROUNDDOWN(INDEX(ログ!S:S,$F$11+ROW(A324)-1) * $F$8,0)</f>
        <v>84</v>
      </c>
    </row>
    <row r="326" spans="1:10">
      <c r="A326" t="str">
        <f>INDEX(ログ!A:A,$F$11+ROW(A325)-1)</f>
        <v xml:space="preserve">  0 :  0  0  1</v>
      </c>
      <c r="B326" s="6">
        <f>INDEX(ログ!N:N,$F$11+ROW(A325)-1)*$G$5</f>
        <v>19.352210746113126</v>
      </c>
      <c r="C326" s="6">
        <f t="shared" si="18"/>
        <v>19.17942315016569</v>
      </c>
      <c r="D326" s="6">
        <f>SUBSTITUTE(INDEX(ログ!P:P,$F$11+ROW(A325)-1),":","")*$G$5</f>
        <v>19.006635554218249</v>
      </c>
      <c r="E326" s="4"/>
      <c r="F326" s="2"/>
      <c r="G326" s="2"/>
      <c r="H326" s="5" t="e">
        <f t="shared" si="15"/>
        <v>#VALUE!</v>
      </c>
      <c r="I326" s="5" t="e">
        <f t="shared" si="16"/>
        <v>#VALUE!</v>
      </c>
      <c r="J326" s="5">
        <f>ROUNDDOWN(INDEX(ログ!S:S,$F$11+ROW(A325)-1) * $F$8,0)</f>
        <v>84</v>
      </c>
    </row>
    <row r="327" spans="1:10">
      <c r="A327" t="str">
        <f>INDEX(ログ!A:A,$F$11+ROW(A326)-1)</f>
        <v xml:space="preserve">  0 :  0  0  1</v>
      </c>
      <c r="B327" s="6">
        <f>INDEX(ログ!N:N,$F$11+ROW(A326)-1)*$G$5</f>
        <v>16.933184402848983</v>
      </c>
      <c r="C327" s="6">
        <f t="shared" si="18"/>
        <v>14.341370463637404</v>
      </c>
      <c r="D327" s="6">
        <f>SUBSTITUTE(INDEX(ログ!P:P,$F$11+ROW(A326)-1),":","")*$G$5</f>
        <v>11.749556524425826</v>
      </c>
      <c r="E327" s="4"/>
      <c r="F327" s="2"/>
      <c r="G327" s="2"/>
      <c r="H327" s="5" t="e">
        <f t="shared" si="15"/>
        <v>#VALUE!</v>
      </c>
      <c r="I327" s="5" t="e">
        <f t="shared" si="16"/>
        <v>#VALUE!</v>
      </c>
      <c r="J327" s="5">
        <f>ROUNDDOWN(INDEX(ログ!S:S,$F$11+ROW(A326)-1) * $F$8,0)</f>
        <v>84</v>
      </c>
    </row>
    <row r="328" spans="1:10">
      <c r="A328" t="str">
        <f>INDEX(ログ!A:A,$F$11+ROW(A327)-1)</f>
        <v xml:space="preserve">  0 :  0  0  1</v>
      </c>
      <c r="B328" s="6">
        <f>INDEX(ログ!N:N,$F$11+ROW(A327)-1)*$G$5</f>
        <v>16.587609210954106</v>
      </c>
      <c r="C328" s="6">
        <f t="shared" si="18"/>
        <v>12.267919312268141</v>
      </c>
      <c r="D328" s="6">
        <f>SUBSTITUTE(INDEX(ログ!P:P,$F$11+ROW(A327)-1),":","")*$G$5</f>
        <v>7.9482294135821761</v>
      </c>
      <c r="E328" s="4"/>
      <c r="F328" s="2"/>
      <c r="G328" s="2"/>
      <c r="H328" s="5" t="e">
        <f t="shared" si="15"/>
        <v>#VALUE!</v>
      </c>
      <c r="I328" s="5" t="e">
        <f t="shared" si="16"/>
        <v>#VALUE!</v>
      </c>
      <c r="J328" s="5">
        <f>ROUNDDOWN(INDEX(ログ!S:S,$F$11+ROW(A327)-1) * $F$8,0)</f>
        <v>86</v>
      </c>
    </row>
    <row r="329" spans="1:10">
      <c r="A329" t="str">
        <f>INDEX(ログ!A:A,$F$11+ROW(A328)-1)</f>
        <v xml:space="preserve">  0 :  0  0  1</v>
      </c>
      <c r="B329" s="6">
        <f>INDEX(ログ!N:N,$F$11+ROW(A328)-1)*$G$5</f>
        <v>17.969909978533614</v>
      </c>
      <c r="C329" s="6">
        <f t="shared" si="18"/>
        <v>16.414821615006666</v>
      </c>
      <c r="D329" s="6">
        <f>SUBSTITUTE(INDEX(ログ!P:P,$F$11+ROW(A328)-1),":","")*$G$5</f>
        <v>14.859733251479721</v>
      </c>
      <c r="E329" s="4"/>
      <c r="F329" s="2"/>
      <c r="G329" s="2"/>
      <c r="H329" s="5" t="e">
        <f t="shared" si="15"/>
        <v>#VALUE!</v>
      </c>
      <c r="I329" s="5" t="e">
        <f t="shared" si="16"/>
        <v>#VALUE!</v>
      </c>
      <c r="J329" s="5">
        <f>ROUNDDOWN(INDEX(ログ!S:S,$F$11+ROW(A328)-1) * $F$8,0)</f>
        <v>86</v>
      </c>
    </row>
    <row r="330" spans="1:10">
      <c r="A330" t="str">
        <f>INDEX(ログ!A:A,$F$11+ROW(A329)-1)</f>
        <v xml:space="preserve">  0 :  0  0  1</v>
      </c>
      <c r="B330" s="6">
        <f>INDEX(ログ!N:N,$F$11+ROW(A329)-1)*$G$5</f>
        <v>14.168582867689967</v>
      </c>
      <c r="C330" s="6">
        <f t="shared" si="18"/>
        <v>14.859733251479721</v>
      </c>
      <c r="D330" s="6">
        <f>SUBSTITUTE(INDEX(ログ!P:P,$F$11+ROW(A329)-1),":","")*$G$5</f>
        <v>15.550883635269475</v>
      </c>
      <c r="E330" s="4"/>
      <c r="F330" s="2"/>
      <c r="G330" s="2"/>
      <c r="H330" s="5" t="e">
        <f t="shared" si="15"/>
        <v>#VALUE!</v>
      </c>
      <c r="I330" s="5" t="e">
        <f t="shared" si="16"/>
        <v>#VALUE!</v>
      </c>
      <c r="J330" s="5">
        <f>ROUNDDOWN(INDEX(ログ!S:S,$F$11+ROW(A329)-1) * $F$8,0)</f>
        <v>84</v>
      </c>
    </row>
    <row r="331" spans="1:10">
      <c r="A331" t="str">
        <f>INDEX(ログ!A:A,$F$11+ROW(A330)-1)</f>
        <v xml:space="preserve">  0 :  0  0  1</v>
      </c>
      <c r="B331" s="6">
        <f>INDEX(ログ!N:N,$F$11+ROW(A330)-1)*$G$5</f>
        <v>13.82300767579509</v>
      </c>
      <c r="C331" s="6">
        <f t="shared" si="18"/>
        <v>12.095131716320704</v>
      </c>
      <c r="D331" s="6">
        <f>SUBSTITUTE(INDEX(ログ!P:P,$F$11+ROW(A330)-1),":","")*$G$5</f>
        <v>10.367255756846317</v>
      </c>
      <c r="E331" s="4"/>
      <c r="F331" s="2"/>
      <c r="G331" s="2"/>
      <c r="H331" s="5" t="e">
        <f t="shared" si="15"/>
        <v>#VALUE!</v>
      </c>
      <c r="I331" s="5" t="e">
        <f t="shared" si="16"/>
        <v>#VALUE!</v>
      </c>
      <c r="J331" s="5">
        <f>ROUNDDOWN(INDEX(ログ!S:S,$F$11+ROW(A330)-1) * $F$8,0)</f>
        <v>84</v>
      </c>
    </row>
    <row r="332" spans="1:10">
      <c r="A332" t="str">
        <f>INDEX(ログ!A:A,$F$11+ROW(A331)-1)</f>
        <v xml:space="preserve">  0 :  0  0  1</v>
      </c>
      <c r="B332" s="6">
        <f>INDEX(ログ!N:N,$F$11+ROW(A331)-1)*$G$5</f>
        <v>12.786282100110457</v>
      </c>
      <c r="C332" s="6">
        <f t="shared" si="18"/>
        <v>9.3305301811616843</v>
      </c>
      <c r="D332" s="6">
        <f>SUBSTITUTE(INDEX(ログ!P:P,$F$11+ROW(A331)-1),":","")*$G$5</f>
        <v>5.8747782622129128</v>
      </c>
      <c r="E332" s="4"/>
      <c r="F332" s="2"/>
      <c r="G332" s="2"/>
      <c r="H332" s="5" t="e">
        <f t="shared" si="15"/>
        <v>#VALUE!</v>
      </c>
      <c r="I332" s="5" t="e">
        <f t="shared" si="16"/>
        <v>#VALUE!</v>
      </c>
      <c r="J332" s="5">
        <f>ROUNDDOWN(INDEX(ログ!S:S,$F$11+ROW(A331)-1) * $F$8,0)</f>
        <v>86</v>
      </c>
    </row>
    <row r="333" spans="1:10">
      <c r="A333" t="str">
        <f>INDEX(ログ!A:A,$F$11+ROW(A332)-1)</f>
        <v xml:space="preserve">  0 :  0  0  1</v>
      </c>
      <c r="B333" s="6">
        <f>INDEX(ログ!N:N,$F$11+ROW(A332)-1)*$G$5</f>
        <v>13.131857292005336</v>
      </c>
      <c r="C333" s="6">
        <f t="shared" si="18"/>
        <v>12.267919312268141</v>
      </c>
      <c r="D333" s="6">
        <f>SUBSTITUTE(INDEX(ログ!P:P,$F$11+ROW(A332)-1),":","")*$G$5</f>
        <v>11.403981332530948</v>
      </c>
      <c r="E333" s="4"/>
      <c r="F333" s="2"/>
      <c r="G333" s="2"/>
      <c r="H333" s="5" t="e">
        <f t="shared" si="15"/>
        <v>#VALUE!</v>
      </c>
      <c r="I333" s="5" t="e">
        <f t="shared" si="16"/>
        <v>#VALUE!</v>
      </c>
      <c r="J333" s="5">
        <f>ROUNDDOWN(INDEX(ログ!S:S,$F$11+ROW(A332)-1) * $F$8,0)</f>
        <v>84</v>
      </c>
    </row>
    <row r="334" spans="1:10">
      <c r="A334" t="str">
        <f>INDEX(ログ!A:A,$F$11+ROW(A333)-1)</f>
        <v xml:space="preserve">  0 :  0  0  1</v>
      </c>
      <c r="B334" s="6">
        <f>INDEX(ログ!N:N,$F$11+ROW(A333)-1)*$G$5</f>
        <v>11.403981332530948</v>
      </c>
      <c r="C334" s="6">
        <f t="shared" si="18"/>
        <v>11.058406140636071</v>
      </c>
      <c r="D334" s="6">
        <f>SUBSTITUTE(INDEX(ログ!P:P,$F$11+ROW(A333)-1),":","")*$G$5</f>
        <v>10.712830948741194</v>
      </c>
      <c r="E334" s="4"/>
      <c r="F334" s="2"/>
      <c r="G334" s="2"/>
      <c r="H334" s="5" t="e">
        <f t="shared" si="15"/>
        <v>#VALUE!</v>
      </c>
      <c r="I334" s="5" t="e">
        <f t="shared" si="16"/>
        <v>#VALUE!</v>
      </c>
      <c r="J334" s="5">
        <f>ROUNDDOWN(INDEX(ログ!S:S,$F$11+ROW(A333)-1) * $F$8,0)</f>
        <v>84</v>
      </c>
    </row>
    <row r="335" spans="1:10">
      <c r="A335" t="str">
        <f>INDEX(ログ!A:A,$F$11+ROW(A334)-1)</f>
        <v xml:space="preserve">  0 :  0  0  1</v>
      </c>
      <c r="B335" s="6">
        <f>INDEX(ログ!N:N,$F$11+ROW(A334)-1)*$G$5</f>
        <v>8.9849549892668072</v>
      </c>
      <c r="C335" s="6">
        <f t="shared" si="18"/>
        <v>8.4665922014244916</v>
      </c>
      <c r="D335" s="6">
        <f>SUBSTITUTE(INDEX(ログ!P:P,$F$11+ROW(A334)-1),":","")*$G$5</f>
        <v>7.9482294135821761</v>
      </c>
      <c r="E335" s="4"/>
      <c r="F335" s="2"/>
      <c r="G335" s="2"/>
      <c r="H335" s="5" t="e">
        <f t="shared" si="15"/>
        <v>#VALUE!</v>
      </c>
      <c r="I335" s="5" t="e">
        <f t="shared" si="16"/>
        <v>#VALUE!</v>
      </c>
      <c r="J335" s="5">
        <f>ROUNDDOWN(INDEX(ログ!S:S,$F$11+ROW(A334)-1) * $F$8,0)</f>
        <v>84</v>
      </c>
    </row>
    <row r="336" spans="1:10">
      <c r="A336" t="str">
        <f>INDEX(ログ!A:A,$F$11+ROW(A335)-1)</f>
        <v xml:space="preserve">  0 :  0  0  1</v>
      </c>
      <c r="B336" s="6">
        <f>INDEX(ログ!N:N,$F$11+ROW(A335)-1)*$G$5</f>
        <v>4.8380526865282816</v>
      </c>
      <c r="C336" s="6">
        <f t="shared" si="18"/>
        <v>4.8380526865282816</v>
      </c>
      <c r="D336" s="6">
        <f>SUBSTITUTE(INDEX(ログ!P:P,$F$11+ROW(A335)-1),":","")*$G$5</f>
        <v>4.8380526865282816</v>
      </c>
      <c r="E336" s="4"/>
      <c r="F336" s="2"/>
      <c r="G336" s="2"/>
      <c r="H336" s="5" t="e">
        <f t="shared" si="15"/>
        <v>#VALUE!</v>
      </c>
      <c r="I336" s="5" t="e">
        <f t="shared" si="16"/>
        <v>#VALUE!</v>
      </c>
      <c r="J336" s="5">
        <f>ROUNDDOWN(INDEX(ログ!S:S,$F$11+ROW(A335)-1) * $F$8,0)</f>
        <v>84</v>
      </c>
    </row>
    <row r="337" spans="1:10">
      <c r="A337" t="str">
        <f>INDEX(ログ!A:A,$F$11+ROW(A336)-1)</f>
        <v xml:space="preserve">  0 :  0  0  1</v>
      </c>
      <c r="B337" s="6">
        <f>INDEX(ログ!N:N,$F$11+ROW(A336)-1)*$G$5</f>
        <v>5.5292030703180357</v>
      </c>
      <c r="C337" s="6">
        <f t="shared" si="18"/>
        <v>6.2203534541077907</v>
      </c>
      <c r="D337" s="6">
        <f>SUBSTITUTE(INDEX(ログ!P:P,$F$11+ROW(A336)-1),":","")*$G$5</f>
        <v>6.9115038378975449</v>
      </c>
      <c r="E337" s="4"/>
      <c r="F337" s="2"/>
      <c r="G337" s="2"/>
      <c r="H337" s="5" t="e">
        <f t="shared" si="15"/>
        <v>#VALUE!</v>
      </c>
      <c r="I337" s="5" t="e">
        <f t="shared" si="16"/>
        <v>#VALUE!</v>
      </c>
      <c r="J337" s="5">
        <f>ROUNDDOWN(INDEX(ログ!S:S,$F$11+ROW(A336)-1) * $F$8,0)</f>
        <v>84</v>
      </c>
    </row>
    <row r="338" spans="1:10">
      <c r="A338" t="str">
        <f>INDEX(ログ!A:A,$F$11+ROW(A337)-1)</f>
        <v xml:space="preserve">  0 :  0  0  1</v>
      </c>
      <c r="B338" s="6">
        <f>INDEX(ログ!N:N,$F$11+ROW(A337)-1)*$G$5</f>
        <v>8.6393797973719302</v>
      </c>
      <c r="C338" s="6">
        <f t="shared" si="18"/>
        <v>8.6393797973719302</v>
      </c>
      <c r="D338" s="6">
        <f>SUBSTITUTE(INDEX(ログ!P:P,$F$11+ROW(A337)-1),":","")*$G$5</f>
        <v>8.6393797973719302</v>
      </c>
      <c r="E338" s="4"/>
      <c r="F338" s="2"/>
      <c r="G338" s="2"/>
      <c r="H338" s="5" t="e">
        <f t="shared" si="15"/>
        <v>#VALUE!</v>
      </c>
      <c r="I338" s="5" t="e">
        <f t="shared" si="16"/>
        <v>#VALUE!</v>
      </c>
      <c r="J338" s="5">
        <f>ROUNDDOWN(INDEX(ログ!S:S,$F$11+ROW(A337)-1) * $F$8,0)</f>
        <v>84</v>
      </c>
    </row>
    <row r="339" spans="1:10">
      <c r="A339" t="str">
        <f>INDEX(ログ!A:A,$F$11+ROW(A338)-1)</f>
        <v xml:space="preserve">  0 :  0  0  1</v>
      </c>
      <c r="B339" s="6">
        <f>INDEX(ログ!N:N,$F$11+ROW(A338)-1)*$G$5</f>
        <v>6.9115038378975449</v>
      </c>
      <c r="C339" s="6">
        <f t="shared" si="18"/>
        <v>7.0842914338449834</v>
      </c>
      <c r="D339" s="6">
        <f>SUBSTITUTE(INDEX(ログ!P:P,$F$11+ROW(A338)-1),":","")*$G$5</f>
        <v>7.2570790297924219</v>
      </c>
      <c r="E339" s="4"/>
      <c r="F339" s="2"/>
      <c r="G339" s="2"/>
      <c r="H339" s="5" t="e">
        <f t="shared" si="15"/>
        <v>#VALUE!</v>
      </c>
      <c r="I339" s="5" t="e">
        <f t="shared" si="16"/>
        <v>#VALUE!</v>
      </c>
      <c r="J339" s="5">
        <f>ROUNDDOWN(INDEX(ログ!S:S,$F$11+ROW(A338)-1) * $F$8,0)</f>
        <v>84</v>
      </c>
    </row>
    <row r="340" spans="1:10">
      <c r="A340" t="str">
        <f>INDEX(ログ!A:A,$F$11+ROW(A339)-1)</f>
        <v xml:space="preserve">  0 :  0  0  1</v>
      </c>
      <c r="B340" s="6">
        <f>INDEX(ログ!N:N,$F$11+ROW(A339)-1)*$G$5</f>
        <v>6.2203534541077898</v>
      </c>
      <c r="C340" s="6">
        <f t="shared" si="18"/>
        <v>6.3931410500552293</v>
      </c>
      <c r="D340" s="6">
        <f>SUBSTITUTE(INDEX(ログ!P:P,$F$11+ROW(A339)-1),":","")*$G$5</f>
        <v>6.5659286460026678</v>
      </c>
      <c r="E340" s="4"/>
      <c r="F340" s="2"/>
      <c r="G340" s="2"/>
      <c r="H340" s="5" t="e">
        <f t="shared" si="15"/>
        <v>#VALUE!</v>
      </c>
      <c r="I340" s="5" t="e">
        <f t="shared" si="16"/>
        <v>#VALUE!</v>
      </c>
      <c r="J340" s="5">
        <f>ROUNDDOWN(INDEX(ログ!S:S,$F$11+ROW(A339)-1) * $F$8,0)</f>
        <v>84</v>
      </c>
    </row>
    <row r="341" spans="1:10">
      <c r="A341" t="str">
        <f>INDEX(ログ!A:A,$F$11+ROW(A340)-1)</f>
        <v xml:space="preserve">  0 :  0  0  1</v>
      </c>
      <c r="B341" s="6">
        <f>INDEX(ログ!N:N,$F$11+ROW(A340)-1)*$G$5</f>
        <v>5.5292030703180357</v>
      </c>
      <c r="C341" s="6">
        <f t="shared" si="18"/>
        <v>5.5292030703180357</v>
      </c>
      <c r="D341" s="6">
        <f>SUBSTITUTE(INDEX(ログ!P:P,$F$11+ROW(A340)-1),":","")*$G$5</f>
        <v>5.5292030703180357</v>
      </c>
      <c r="E341" s="4"/>
      <c r="F341" s="2"/>
      <c r="G341" s="2"/>
      <c r="H341" s="5" t="e">
        <f t="shared" si="15"/>
        <v>#VALUE!</v>
      </c>
      <c r="I341" s="5" t="e">
        <f t="shared" si="16"/>
        <v>#VALUE!</v>
      </c>
      <c r="J341" s="5">
        <f>ROUNDDOWN(INDEX(ログ!S:S,$F$11+ROW(A340)-1) * $F$8,0)</f>
        <v>84</v>
      </c>
    </row>
    <row r="342" spans="1:10">
      <c r="A342" t="str">
        <f>INDEX(ログ!A:A,$F$11+ROW(A341)-1)</f>
        <v xml:space="preserve">  0 :  0  0  1</v>
      </c>
      <c r="B342" s="6">
        <f>INDEX(ログ!N:N,$F$11+ROW(A341)-1)*$G$5</f>
        <v>3.4557519189487724</v>
      </c>
      <c r="C342" s="6">
        <f t="shared" si="18"/>
        <v>3.628539514896211</v>
      </c>
      <c r="D342" s="6">
        <f>SUBSTITUTE(INDEX(ログ!P:P,$F$11+ROW(A341)-1),":","")*$G$5</f>
        <v>3.8013271108436495</v>
      </c>
      <c r="E342" s="4"/>
      <c r="F342" s="2"/>
      <c r="G342" s="2"/>
      <c r="H342" s="5" t="e">
        <f t="shared" si="15"/>
        <v>#VALUE!</v>
      </c>
      <c r="I342" s="5" t="e">
        <f t="shared" si="16"/>
        <v>#VALUE!</v>
      </c>
      <c r="J342" s="5">
        <f>ROUNDDOWN(INDEX(ログ!S:S,$F$11+ROW(A341)-1) * $F$8,0)</f>
        <v>84</v>
      </c>
    </row>
    <row r="343" spans="1:10">
      <c r="A343" t="str">
        <f>INDEX(ログ!A:A,$F$11+ROW(A342)-1)</f>
        <v xml:space="preserve">  0 :  0  0  1</v>
      </c>
      <c r="B343" s="6">
        <f>INDEX(ログ!N:N,$F$11+ROW(A342)-1)*$G$5</f>
        <v>2.7646015351590179</v>
      </c>
      <c r="C343" s="6">
        <f t="shared" si="18"/>
        <v>2.2462387473167018</v>
      </c>
      <c r="D343" s="6">
        <f>SUBSTITUTE(INDEX(ログ!P:P,$F$11+ROW(A342)-1),":","")*$G$5</f>
        <v>1.7278759594743862</v>
      </c>
      <c r="E343" s="4"/>
      <c r="F343" s="2"/>
      <c r="G343" s="2"/>
      <c r="H343" s="5" t="e">
        <f t="shared" si="15"/>
        <v>#VALUE!</v>
      </c>
      <c r="I343" s="5" t="e">
        <f t="shared" si="16"/>
        <v>#VALUE!</v>
      </c>
      <c r="J343" s="5">
        <f>ROUNDDOWN(INDEX(ログ!S:S,$F$11+ROW(A342)-1) * $F$8,0)</f>
        <v>84</v>
      </c>
    </row>
    <row r="344" spans="1:10">
      <c r="A344" t="str">
        <f>INDEX(ログ!A:A,$F$11+ROW(A343)-1)</f>
        <v xml:space="preserve">  0 :  0  0  1</v>
      </c>
      <c r="B344" s="6">
        <f>INDEX(ログ!N:N,$F$11+ROW(A343)-1)*$G$5</f>
        <v>2.0734511513692633</v>
      </c>
      <c r="C344" s="6">
        <f t="shared" si="18"/>
        <v>1.9006635554218247</v>
      </c>
      <c r="D344" s="6">
        <f>SUBSTITUTE(INDEX(ログ!P:P,$F$11+ROW(A343)-1),":","")*$G$5</f>
        <v>1.7278759594743862</v>
      </c>
      <c r="E344" s="4"/>
      <c r="F344" s="2"/>
      <c r="G344" s="2"/>
      <c r="H344" s="5" t="e">
        <f t="shared" si="15"/>
        <v>#VALUE!</v>
      </c>
      <c r="I344" s="5" t="e">
        <f t="shared" si="16"/>
        <v>#VALUE!</v>
      </c>
      <c r="J344" s="5">
        <f>ROUNDDOWN(INDEX(ログ!S:S,$F$11+ROW(A343)-1) * $F$8,0)</f>
        <v>84</v>
      </c>
    </row>
    <row r="345" spans="1:10">
      <c r="A345" t="str">
        <f>INDEX(ログ!A:A,$F$11+ROW(A344)-1)</f>
        <v xml:space="preserve">  0 :  0  0  1</v>
      </c>
      <c r="B345" s="6">
        <f>INDEX(ログ!N:N,$F$11+ROW(A344)-1)*$G$5</f>
        <v>1.0367255756846316</v>
      </c>
      <c r="C345" s="6">
        <f t="shared" si="18"/>
        <v>1.0367255756846316</v>
      </c>
      <c r="D345" s="6">
        <f>SUBSTITUTE(INDEX(ログ!P:P,$F$11+ROW(A344)-1),":","")*$G$5</f>
        <v>1.0367255756846316</v>
      </c>
      <c r="E345" s="4"/>
      <c r="F345" s="2"/>
      <c r="G345" s="2"/>
      <c r="H345" s="5" t="e">
        <f t="shared" si="15"/>
        <v>#VALUE!</v>
      </c>
      <c r="I345" s="5" t="e">
        <f t="shared" si="16"/>
        <v>#VALUE!</v>
      </c>
      <c r="J345" s="5">
        <f>ROUNDDOWN(INDEX(ログ!S:S,$F$11+ROW(A344)-1) * $F$8,0)</f>
        <v>84</v>
      </c>
    </row>
    <row r="346" spans="1:10">
      <c r="A346" t="str">
        <f>INDEX(ログ!A:A,$F$11+ROW(A345)-1)</f>
        <v xml:space="preserve">  0 :  0  0  1</v>
      </c>
      <c r="B346" s="6">
        <f>INDEX(ログ!N:N,$F$11+ROW(A345)-1)*$G$5</f>
        <v>0.34557519189487723</v>
      </c>
      <c r="C346" s="6">
        <f t="shared" si="18"/>
        <v>0.34557519189487723</v>
      </c>
      <c r="D346" s="6">
        <f>SUBSTITUTE(INDEX(ログ!P:P,$F$11+ROW(A345)-1),":","")*$G$5</f>
        <v>0.34557519189487723</v>
      </c>
      <c r="E346" s="4"/>
      <c r="F346" s="2"/>
      <c r="G346" s="2"/>
      <c r="H346" s="5" t="e">
        <f t="shared" si="15"/>
        <v>#VALUE!</v>
      </c>
      <c r="I346" s="5" t="e">
        <f t="shared" si="16"/>
        <v>#VALUE!</v>
      </c>
      <c r="J346" s="5">
        <f>ROUNDDOWN(INDEX(ログ!S:S,$F$11+ROW(A345)-1) * $F$8,0)</f>
        <v>84</v>
      </c>
    </row>
    <row r="347" spans="1:10">
      <c r="A347" t="str">
        <f>INDEX(ログ!A:A,$F$11+ROW(A346)-1)</f>
        <v xml:space="preserve">  0 :  0  0  1</v>
      </c>
      <c r="B347" s="6">
        <f>INDEX(ログ!N:N,$F$11+ROW(A346)-1)*$G$5</f>
        <v>-0.34557519189487723</v>
      </c>
      <c r="C347" s="6">
        <f t="shared" si="18"/>
        <v>-0.51836278784231582</v>
      </c>
      <c r="D347" s="6">
        <f>SUBSTITUTE(INDEX(ログ!P:P,$F$11+ROW(A346)-1),":","")*$G$5</f>
        <v>-0.69115038378975446</v>
      </c>
      <c r="E347" s="4"/>
      <c r="F347" s="2"/>
      <c r="G347" s="2"/>
      <c r="H347" s="5" t="e">
        <f t="shared" si="15"/>
        <v>#VALUE!</v>
      </c>
      <c r="I347" s="5" t="e">
        <f t="shared" si="16"/>
        <v>#VALUE!</v>
      </c>
      <c r="J347" s="5">
        <f>ROUNDDOWN(INDEX(ログ!S:S,$F$11+ROW(A346)-1) * $F$8,0)</f>
        <v>84</v>
      </c>
    </row>
    <row r="348" spans="1:10">
      <c r="A348" t="str">
        <f>INDEX(ログ!A:A,$F$11+ROW(A347)-1)</f>
        <v xml:space="preserve">  0 :  0  0  1</v>
      </c>
      <c r="B348" s="6">
        <f>INDEX(ログ!N:N,$F$11+ROW(A347)-1)*$G$5</f>
        <v>-1.0367255756846316</v>
      </c>
      <c r="C348" s="6">
        <f t="shared" si="18"/>
        <v>-1.0367255756846316</v>
      </c>
      <c r="D348" s="6">
        <f>SUBSTITUTE(INDEX(ログ!P:P,$F$11+ROW(A347)-1),":","")*$G$5</f>
        <v>-1.0367255756846316</v>
      </c>
      <c r="E348" s="4"/>
      <c r="F348" s="2"/>
      <c r="G348" s="2"/>
      <c r="H348" s="5" t="e">
        <f t="shared" si="15"/>
        <v>#VALUE!</v>
      </c>
      <c r="I348" s="5" t="e">
        <f t="shared" si="16"/>
        <v>#VALUE!</v>
      </c>
      <c r="J348" s="5">
        <f>ROUNDDOWN(INDEX(ログ!S:S,$F$11+ROW(A347)-1) * $F$8,0)</f>
        <v>84</v>
      </c>
    </row>
    <row r="349" spans="1:10">
      <c r="A349" t="str">
        <f>INDEX(ログ!A:A,$F$11+ROW(A348)-1)</f>
        <v xml:space="preserve">  0 :  0  0  1</v>
      </c>
      <c r="B349" s="6">
        <f>INDEX(ログ!N:N,$F$11+ROW(A348)-1)*$G$5</f>
        <v>-1.3823007675795089</v>
      </c>
      <c r="C349" s="6">
        <f t="shared" si="18"/>
        <v>-1.3823007675795089</v>
      </c>
      <c r="D349" s="6">
        <f>SUBSTITUTE(INDEX(ログ!P:P,$F$11+ROW(A348)-1),":","")*$G$5</f>
        <v>-1.3823007675795089</v>
      </c>
      <c r="E349" s="4"/>
      <c r="F349" s="2"/>
      <c r="G349" s="2"/>
      <c r="H349" s="5" t="e">
        <f t="shared" si="15"/>
        <v>#VALUE!</v>
      </c>
      <c r="I349" s="5" t="e">
        <f t="shared" si="16"/>
        <v>#VALUE!</v>
      </c>
      <c r="J349" s="5">
        <f>ROUNDDOWN(INDEX(ログ!S:S,$F$11+ROW(A348)-1) * $F$8,0)</f>
        <v>84</v>
      </c>
    </row>
    <row r="350" spans="1:10">
      <c r="A350" t="str">
        <f>INDEX(ログ!A:A,$F$11+ROW(A349)-1)</f>
        <v xml:space="preserve">  0 :  0  0  1</v>
      </c>
      <c r="B350" s="6">
        <f>INDEX(ログ!N:N,$F$11+ROW(A349)-1)*$G$5</f>
        <v>-1.7278759594743862</v>
      </c>
      <c r="C350" s="6">
        <f t="shared" si="18"/>
        <v>-1.5550883635269477</v>
      </c>
      <c r="D350" s="6">
        <f>SUBSTITUTE(INDEX(ログ!P:P,$F$11+ROW(A349)-1),":","")*$G$5</f>
        <v>-1.3823007675795089</v>
      </c>
      <c r="E350" s="4"/>
      <c r="F350" s="2"/>
      <c r="G350" s="2"/>
      <c r="H350" s="5" t="e">
        <f t="shared" si="15"/>
        <v>#VALUE!</v>
      </c>
      <c r="I350" s="5" t="e">
        <f t="shared" si="16"/>
        <v>#VALUE!</v>
      </c>
      <c r="J350" s="5">
        <f>ROUNDDOWN(INDEX(ログ!S:S,$F$11+ROW(A349)-1) * $F$8,0)</f>
        <v>84</v>
      </c>
    </row>
    <row r="351" spans="1:10">
      <c r="A351" t="str">
        <f>INDEX(ログ!A:A,$F$11+ROW(A350)-1)</f>
        <v xml:space="preserve">  0 :  0  0  1</v>
      </c>
      <c r="B351" s="6">
        <f>INDEX(ログ!N:N,$F$11+ROW(A350)-1)*$G$5</f>
        <v>-1.7278759594743862</v>
      </c>
      <c r="C351" s="6">
        <f t="shared" si="18"/>
        <v>-1.7278759594743862</v>
      </c>
      <c r="D351" s="6">
        <f>SUBSTITUTE(INDEX(ログ!P:P,$F$11+ROW(A350)-1),":","")*$G$5</f>
        <v>-1.7278759594743862</v>
      </c>
      <c r="E351" s="4"/>
      <c r="F351" s="2"/>
      <c r="G351" s="2"/>
      <c r="H351" s="5" t="e">
        <f t="shared" si="15"/>
        <v>#VALUE!</v>
      </c>
      <c r="I351" s="5" t="e">
        <f t="shared" si="16"/>
        <v>#VALUE!</v>
      </c>
      <c r="J351" s="5">
        <f>ROUNDDOWN(INDEX(ログ!S:S,$F$11+ROW(A350)-1) * $F$8,0)</f>
        <v>84</v>
      </c>
    </row>
    <row r="352" spans="1:10">
      <c r="A352" t="str">
        <f>INDEX(ログ!A:A,$F$11+ROW(A351)-1)</f>
        <v xml:space="preserve">  0 :  0  0  1</v>
      </c>
      <c r="B352" s="6">
        <f>INDEX(ログ!N:N,$F$11+ROW(A351)-1)*$G$5</f>
        <v>-2.0734511513692633</v>
      </c>
      <c r="C352" s="6">
        <f t="shared" si="18"/>
        <v>-2.0734511513692633</v>
      </c>
      <c r="D352" s="6">
        <f>SUBSTITUTE(INDEX(ログ!P:P,$F$11+ROW(A351)-1),":","")*$G$5</f>
        <v>-2.0734511513692633</v>
      </c>
      <c r="E352" s="4"/>
      <c r="F352" s="2"/>
      <c r="G352" s="2"/>
      <c r="H352" s="5" t="e">
        <f t="shared" si="15"/>
        <v>#VALUE!</v>
      </c>
      <c r="I352" s="5" t="e">
        <f t="shared" si="16"/>
        <v>#VALUE!</v>
      </c>
      <c r="J352" s="5">
        <f>ROUNDDOWN(INDEX(ログ!S:S,$F$11+ROW(A351)-1) * $F$8,0)</f>
        <v>84</v>
      </c>
    </row>
    <row r="353" spans="1:10">
      <c r="A353" t="str">
        <f>INDEX(ログ!A:A,$F$11+ROW(A352)-1)</f>
        <v xml:space="preserve">  0 :  0  0  1</v>
      </c>
      <c r="B353" s="6">
        <f>INDEX(ログ!N:N,$F$11+ROW(A352)-1)*$G$5</f>
        <v>-2.0734511513692633</v>
      </c>
      <c r="C353" s="6">
        <f t="shared" si="18"/>
        <v>-2.0734511513692633</v>
      </c>
      <c r="D353" s="6">
        <f>SUBSTITUTE(INDEX(ログ!P:P,$F$11+ROW(A352)-1),":","")*$G$5</f>
        <v>-2.0734511513692633</v>
      </c>
      <c r="E353" s="4"/>
      <c r="F353" s="2"/>
      <c r="G353" s="2"/>
      <c r="H353" s="5" t="e">
        <f t="shared" si="15"/>
        <v>#VALUE!</v>
      </c>
      <c r="I353" s="5" t="e">
        <f t="shared" si="16"/>
        <v>#VALUE!</v>
      </c>
      <c r="J353" s="5">
        <f>ROUNDDOWN(INDEX(ログ!S:S,$F$11+ROW(A352)-1) * $F$8,0)</f>
        <v>84</v>
      </c>
    </row>
    <row r="354" spans="1:10">
      <c r="A354" t="str">
        <f>INDEX(ログ!A:A,$F$11+ROW(A353)-1)</f>
        <v xml:space="preserve">  0 :  0  0  1</v>
      </c>
      <c r="B354" s="6">
        <f>INDEX(ログ!N:N,$F$11+ROW(A353)-1)*$G$5</f>
        <v>-2.4190263432641408</v>
      </c>
      <c r="C354" s="6">
        <f t="shared" si="18"/>
        <v>-2.2462387473167018</v>
      </c>
      <c r="D354" s="6">
        <f>SUBSTITUTE(INDEX(ログ!P:P,$F$11+ROW(A353)-1),":","")*$G$5</f>
        <v>-2.0734511513692633</v>
      </c>
      <c r="E354" s="4"/>
      <c r="F354" s="2"/>
      <c r="G354" s="2"/>
      <c r="H354" s="5" t="e">
        <f t="shared" si="15"/>
        <v>#VALUE!</v>
      </c>
      <c r="I354" s="5" t="e">
        <f t="shared" si="16"/>
        <v>#VALUE!</v>
      </c>
      <c r="J354" s="5">
        <f>ROUNDDOWN(INDEX(ログ!S:S,$F$11+ROW(A353)-1) * $F$8,0)</f>
        <v>84</v>
      </c>
    </row>
    <row r="355" spans="1:10">
      <c r="A355" t="str">
        <f>INDEX(ログ!A:A,$F$11+ROW(A354)-1)</f>
        <v xml:space="preserve">  0 :  0  0  1</v>
      </c>
      <c r="B355" s="6">
        <f>INDEX(ログ!N:N,$F$11+ROW(A354)-1)*$G$5</f>
        <v>-2.0734511513692633</v>
      </c>
      <c r="C355" s="6">
        <f t="shared" si="18"/>
        <v>-2.2462387473167018</v>
      </c>
      <c r="D355" s="6">
        <f>SUBSTITUTE(INDEX(ログ!P:P,$F$11+ROW(A354)-1),":","")*$G$5</f>
        <v>-2.4190263432641408</v>
      </c>
      <c r="E355" s="4"/>
      <c r="F355" s="2"/>
      <c r="G355" s="2"/>
      <c r="H355" s="5" t="e">
        <f t="shared" si="15"/>
        <v>#VALUE!</v>
      </c>
      <c r="I355" s="5" t="e">
        <f t="shared" si="16"/>
        <v>#VALUE!</v>
      </c>
      <c r="J355" s="5">
        <f>ROUNDDOWN(INDEX(ログ!S:S,$F$11+ROW(A354)-1) * $F$8,0)</f>
        <v>84</v>
      </c>
    </row>
    <row r="356" spans="1:10">
      <c r="A356" t="str">
        <f>INDEX(ログ!A:A,$F$11+ROW(A355)-1)</f>
        <v xml:space="preserve">  0 :  0  0  1</v>
      </c>
      <c r="B356" s="6">
        <f>INDEX(ログ!N:N,$F$11+ROW(A355)-1)*$G$5</f>
        <v>-2.4190263432641408</v>
      </c>
      <c r="C356" s="6">
        <f t="shared" si="18"/>
        <v>-2.4190263432641408</v>
      </c>
      <c r="D356" s="6">
        <f>SUBSTITUTE(INDEX(ログ!P:P,$F$11+ROW(A355)-1),":","")*$G$5</f>
        <v>-2.4190263432641408</v>
      </c>
      <c r="E356" s="4"/>
      <c r="F356" s="2"/>
      <c r="G356" s="2"/>
      <c r="H356" s="5" t="e">
        <f t="shared" si="15"/>
        <v>#VALUE!</v>
      </c>
      <c r="I356" s="5" t="e">
        <f t="shared" si="16"/>
        <v>#VALUE!</v>
      </c>
      <c r="J356" s="5">
        <f>ROUNDDOWN(INDEX(ログ!S:S,$F$11+ROW(A355)-1) * $F$8,0)</f>
        <v>84</v>
      </c>
    </row>
    <row r="357" spans="1:10">
      <c r="A357" t="str">
        <f>INDEX(ログ!A:A,$F$11+ROW(A356)-1)</f>
        <v xml:space="preserve">  0 :  0  0  1</v>
      </c>
      <c r="B357" s="6">
        <f>INDEX(ログ!N:N,$F$11+ROW(A356)-1)*$G$5</f>
        <v>-1.3823007675795089</v>
      </c>
      <c r="C357" s="6">
        <f t="shared" si="18"/>
        <v>-1.3823007675795089</v>
      </c>
      <c r="D357" s="6">
        <f>SUBSTITUTE(INDEX(ログ!P:P,$F$11+ROW(A356)-1),":","")*$G$5</f>
        <v>-1.3823007675795089</v>
      </c>
      <c r="E357" s="4"/>
      <c r="F357" s="2"/>
      <c r="G357" s="2"/>
      <c r="H357" s="5" t="e">
        <f t="shared" si="15"/>
        <v>#VALUE!</v>
      </c>
      <c r="I357" s="5" t="e">
        <f t="shared" si="16"/>
        <v>#VALUE!</v>
      </c>
      <c r="J357" s="5">
        <f>ROUNDDOWN(INDEX(ログ!S:S,$F$11+ROW(A356)-1) * $F$8,0)</f>
        <v>84</v>
      </c>
    </row>
    <row r="358" spans="1:10">
      <c r="A358" t="str">
        <f>INDEX(ログ!A:A,$F$11+ROW(A357)-1)</f>
        <v xml:space="preserve">  0 :  0  0  1</v>
      </c>
      <c r="B358" s="6">
        <f>INDEX(ログ!N:N,$F$11+ROW(A357)-1)*$G$5</f>
        <v>0</v>
      </c>
      <c r="C358" s="6">
        <f t="shared" si="18"/>
        <v>-0.34557519189487723</v>
      </c>
      <c r="D358" s="6">
        <f>SUBSTITUTE(INDEX(ログ!P:P,$F$11+ROW(A357)-1),":","")*$G$5</f>
        <v>-0.69115038378975446</v>
      </c>
      <c r="E358" s="4"/>
      <c r="F358" s="2"/>
      <c r="G358" s="2"/>
      <c r="H358" s="5" t="e">
        <f t="shared" si="15"/>
        <v>#VALUE!</v>
      </c>
      <c r="I358" s="5" t="e">
        <f t="shared" si="16"/>
        <v>#VALUE!</v>
      </c>
      <c r="J358" s="5">
        <f>ROUNDDOWN(INDEX(ログ!S:S,$F$11+ROW(A357)-1) * $F$8,0)</f>
        <v>84</v>
      </c>
    </row>
    <row r="359" spans="1:10">
      <c r="A359" t="str">
        <f>INDEX(ログ!A:A,$F$11+ROW(A358)-1)</f>
        <v xml:space="preserve">  0 :  0  0  1</v>
      </c>
      <c r="B359" s="6">
        <f>INDEX(ログ!N:N,$F$11+ROW(A358)-1)*$G$5</f>
        <v>1.0367255756846316</v>
      </c>
      <c r="C359" s="6">
        <f t="shared" si="18"/>
        <v>0.51836278784231582</v>
      </c>
      <c r="D359" s="6">
        <f>SUBSTITUTE(INDEX(ログ!P:P,$F$11+ROW(A358)-1),":","")*$G$5</f>
        <v>0</v>
      </c>
      <c r="E359" s="4"/>
      <c r="F359" s="2"/>
      <c r="G359" s="2"/>
      <c r="H359" s="5" t="e">
        <f t="shared" si="15"/>
        <v>#VALUE!</v>
      </c>
      <c r="I359" s="5" t="e">
        <f t="shared" si="16"/>
        <v>#VALUE!</v>
      </c>
      <c r="J359" s="5">
        <f>ROUNDDOWN(INDEX(ログ!S:S,$F$11+ROW(A358)-1) * $F$8,0)</f>
        <v>84</v>
      </c>
    </row>
    <row r="360" spans="1:10">
      <c r="A360" t="str">
        <f>INDEX(ログ!A:A,$F$11+ROW(A359)-1)</f>
        <v xml:space="preserve">  0 :  0  0  1</v>
      </c>
      <c r="B360" s="6">
        <f>INDEX(ログ!N:N,$F$11+ROW(A359)-1)*$G$5</f>
        <v>0</v>
      </c>
      <c r="C360" s="6">
        <f t="shared" si="18"/>
        <v>0.17278759594743862</v>
      </c>
      <c r="D360" s="6">
        <f>SUBSTITUTE(INDEX(ログ!P:P,$F$11+ROW(A359)-1),":","")*$G$5</f>
        <v>0.34557519189487723</v>
      </c>
      <c r="E360" s="4"/>
      <c r="F360" s="2"/>
      <c r="G360" s="2"/>
      <c r="H360" s="5" t="e">
        <f t="shared" si="15"/>
        <v>#VALUE!</v>
      </c>
      <c r="I360" s="5" t="e">
        <f t="shared" si="16"/>
        <v>#VALUE!</v>
      </c>
      <c r="J360" s="5">
        <f>ROUNDDOWN(INDEX(ログ!S:S,$F$11+ROW(A359)-1) * $F$8,0)</f>
        <v>84</v>
      </c>
    </row>
    <row r="361" spans="1:10">
      <c r="A361" t="str">
        <f>INDEX(ログ!A:A,$F$11+ROW(A360)-1)</f>
        <v xml:space="preserve">  0 :  0  0  1</v>
      </c>
      <c r="B361" s="6">
        <f>INDEX(ログ!N:N,$F$11+ROW(A360)-1)*$G$5</f>
        <v>0.69115038378975446</v>
      </c>
      <c r="C361" s="6">
        <f t="shared" si="18"/>
        <v>0.69115038378975446</v>
      </c>
      <c r="D361" s="6">
        <f>SUBSTITUTE(INDEX(ログ!P:P,$F$11+ROW(A360)-1),":","")*$G$5</f>
        <v>0.69115038378975446</v>
      </c>
      <c r="E361" s="4"/>
      <c r="F361" s="2"/>
      <c r="G361" s="2"/>
      <c r="H361" s="5" t="e">
        <f t="shared" si="15"/>
        <v>#VALUE!</v>
      </c>
      <c r="I361" s="5" t="e">
        <f t="shared" si="16"/>
        <v>#VALUE!</v>
      </c>
      <c r="J361" s="5">
        <f>ROUNDDOWN(INDEX(ログ!S:S,$F$11+ROW(A360)-1) * $F$8,0)</f>
        <v>84</v>
      </c>
    </row>
    <row r="362" spans="1:10">
      <c r="A362" t="str">
        <f>INDEX(ログ!A:A,$F$11+ROW(A361)-1)</f>
        <v xml:space="preserve">  0 :  0  0  1</v>
      </c>
      <c r="B362" s="6">
        <f>INDEX(ログ!N:N,$F$11+ROW(A361)-1)*$G$5</f>
        <v>1.0367255756846316</v>
      </c>
      <c r="C362" s="6">
        <f t="shared" si="18"/>
        <v>1.0367255756846316</v>
      </c>
      <c r="D362" s="6">
        <f>SUBSTITUTE(INDEX(ログ!P:P,$F$11+ROW(A361)-1),":","")*$G$5</f>
        <v>1.0367255756846316</v>
      </c>
      <c r="E362" s="4"/>
      <c r="F362" s="2"/>
      <c r="G362" s="2"/>
      <c r="H362" s="5" t="e">
        <f t="shared" si="15"/>
        <v>#VALUE!</v>
      </c>
      <c r="I362" s="5" t="e">
        <f t="shared" si="16"/>
        <v>#VALUE!</v>
      </c>
      <c r="J362" s="5">
        <f>ROUNDDOWN(INDEX(ログ!S:S,$F$11+ROW(A361)-1) * $F$8,0)</f>
        <v>84</v>
      </c>
    </row>
    <row r="363" spans="1:10">
      <c r="A363" t="str">
        <f>INDEX(ログ!A:A,$F$11+ROW(A362)-1)</f>
        <v xml:space="preserve">  0 :  0  0  1</v>
      </c>
      <c r="B363" s="6">
        <f>INDEX(ログ!N:N,$F$11+ROW(A362)-1)*$G$5</f>
        <v>1.3823007675795089</v>
      </c>
      <c r="C363" s="6">
        <f t="shared" si="18"/>
        <v>1.3823007675795089</v>
      </c>
      <c r="D363" s="6">
        <f>SUBSTITUTE(INDEX(ログ!P:P,$F$11+ROW(A362)-1),":","")*$G$5</f>
        <v>1.3823007675795089</v>
      </c>
      <c r="E363" s="4"/>
      <c r="F363" s="2"/>
      <c r="G363" s="2"/>
      <c r="H363" s="5" t="e">
        <f t="shared" si="15"/>
        <v>#VALUE!</v>
      </c>
      <c r="I363" s="5" t="e">
        <f t="shared" si="16"/>
        <v>#VALUE!</v>
      </c>
      <c r="J363" s="5">
        <f>ROUNDDOWN(INDEX(ログ!S:S,$F$11+ROW(A362)-1) * $F$8,0)</f>
        <v>84</v>
      </c>
    </row>
    <row r="364" spans="1:10">
      <c r="A364" t="str">
        <f>INDEX(ログ!A:A,$F$11+ROW(A363)-1)</f>
        <v xml:space="preserve">  0 :  0  0  1</v>
      </c>
      <c r="B364" s="6">
        <f>INDEX(ログ!N:N,$F$11+ROW(A363)-1)*$G$5</f>
        <v>1.7278759594743862</v>
      </c>
      <c r="C364" s="6">
        <f t="shared" si="18"/>
        <v>1.7278759594743862</v>
      </c>
      <c r="D364" s="6">
        <f>SUBSTITUTE(INDEX(ログ!P:P,$F$11+ROW(A363)-1),":","")*$G$5</f>
        <v>1.7278759594743862</v>
      </c>
      <c r="E364" s="4"/>
      <c r="F364" s="2"/>
      <c r="G364" s="2"/>
      <c r="H364" s="5" t="e">
        <f t="shared" si="15"/>
        <v>#VALUE!</v>
      </c>
      <c r="I364" s="5" t="e">
        <f t="shared" si="16"/>
        <v>#VALUE!</v>
      </c>
      <c r="J364" s="5">
        <f>ROUNDDOWN(INDEX(ログ!S:S,$F$11+ROW(A363)-1) * $F$8,0)</f>
        <v>84</v>
      </c>
    </row>
    <row r="365" spans="1:10">
      <c r="A365" t="str">
        <f>INDEX(ログ!A:A,$F$11+ROW(A364)-1)</f>
        <v xml:space="preserve">  0 :  0  0  1</v>
      </c>
      <c r="B365" s="6">
        <f>INDEX(ログ!N:N,$F$11+ROW(A364)-1)*$G$5</f>
        <v>1.7278759594743862</v>
      </c>
      <c r="C365" s="6">
        <f t="shared" si="18"/>
        <v>1.7278759594743862</v>
      </c>
      <c r="D365" s="6">
        <f>SUBSTITUTE(INDEX(ログ!P:P,$F$11+ROW(A364)-1),":","")*$G$5</f>
        <v>1.7278759594743862</v>
      </c>
      <c r="E365" s="4"/>
      <c r="F365" s="2"/>
      <c r="G365" s="2"/>
      <c r="H365" s="5" t="e">
        <f t="shared" si="15"/>
        <v>#VALUE!</v>
      </c>
      <c r="I365" s="5" t="e">
        <f t="shared" si="16"/>
        <v>#VALUE!</v>
      </c>
      <c r="J365" s="5">
        <f>ROUNDDOWN(INDEX(ログ!S:S,$F$11+ROW(A364)-1) * $F$8,0)</f>
        <v>84</v>
      </c>
    </row>
    <row r="366" spans="1:10">
      <c r="A366" t="str">
        <f>INDEX(ログ!A:A,$F$11+ROW(A365)-1)</f>
        <v xml:space="preserve">  0 :  0  0  1</v>
      </c>
      <c r="B366" s="6">
        <f>INDEX(ログ!N:N,$F$11+ROW(A365)-1)*$G$5</f>
        <v>1.7278759594743862</v>
      </c>
      <c r="C366" s="6">
        <f t="shared" si="18"/>
        <v>1.7278759594743862</v>
      </c>
      <c r="D366" s="6">
        <f>SUBSTITUTE(INDEX(ログ!P:P,$F$11+ROW(A365)-1),":","")*$G$5</f>
        <v>1.7278759594743862</v>
      </c>
      <c r="E366" s="4"/>
      <c r="F366" s="2"/>
      <c r="G366" s="2"/>
      <c r="H366" s="5" t="e">
        <f t="shared" si="15"/>
        <v>#VALUE!</v>
      </c>
      <c r="I366" s="5" t="e">
        <f t="shared" si="16"/>
        <v>#VALUE!</v>
      </c>
      <c r="J366" s="5">
        <f>ROUNDDOWN(INDEX(ログ!S:S,$F$11+ROW(A365)-1) * $F$8,0)</f>
        <v>84</v>
      </c>
    </row>
    <row r="367" spans="1:10">
      <c r="A367" t="str">
        <f>INDEX(ログ!A:A,$F$11+ROW(A366)-1)</f>
        <v xml:space="preserve">  0 :  0  0  1</v>
      </c>
      <c r="B367" s="6">
        <f>INDEX(ログ!N:N,$F$11+ROW(A366)-1)*$G$5</f>
        <v>2.4190263432641408</v>
      </c>
      <c r="C367" s="6">
        <f t="shared" si="18"/>
        <v>1.9006635554218247</v>
      </c>
      <c r="D367" s="6">
        <f>SUBSTITUTE(INDEX(ログ!P:P,$F$11+ROW(A366)-1),":","")*$G$5</f>
        <v>1.3823007675795089</v>
      </c>
      <c r="E367" s="4"/>
      <c r="F367" s="2"/>
      <c r="G367" s="2"/>
      <c r="H367" s="5" t="e">
        <f t="shared" si="15"/>
        <v>#VALUE!</v>
      </c>
      <c r="I367" s="5" t="e">
        <f t="shared" si="16"/>
        <v>#VALUE!</v>
      </c>
      <c r="J367" s="5">
        <f>ROUNDDOWN(INDEX(ログ!S:S,$F$11+ROW(A366)-1) * $F$8,0)</f>
        <v>84</v>
      </c>
    </row>
    <row r="368" spans="1:10">
      <c r="A368" t="str">
        <f>INDEX(ログ!A:A,$F$11+ROW(A367)-1)</f>
        <v xml:space="preserve">  0 :  0  0  1</v>
      </c>
      <c r="B368" s="6">
        <f>INDEX(ログ!N:N,$F$11+ROW(A367)-1)*$G$5</f>
        <v>2.0734511513692633</v>
      </c>
      <c r="C368" s="6">
        <f t="shared" si="18"/>
        <v>0.69115038378975435</v>
      </c>
      <c r="D368" s="6">
        <f>SUBSTITUTE(INDEX(ログ!P:P,$F$11+ROW(A367)-1),":","")*$G$5</f>
        <v>-0.69115038378975446</v>
      </c>
      <c r="E368" s="4"/>
      <c r="F368" s="2"/>
      <c r="G368" s="2"/>
      <c r="H368" s="5" t="e">
        <f t="shared" si="15"/>
        <v>#VALUE!</v>
      </c>
      <c r="I368" s="5" t="e">
        <f t="shared" si="16"/>
        <v>#VALUE!</v>
      </c>
      <c r="J368" s="5">
        <f>ROUNDDOWN(INDEX(ログ!S:S,$F$11+ROW(A367)-1) * $F$8,0)</f>
        <v>84</v>
      </c>
    </row>
    <row r="369" spans="1:10">
      <c r="A369" t="str">
        <f>INDEX(ログ!A:A,$F$11+ROW(A368)-1)</f>
        <v xml:space="preserve">  0 :  0  0  1</v>
      </c>
      <c r="B369" s="6">
        <f>INDEX(ログ!N:N,$F$11+ROW(A368)-1)*$G$5</f>
        <v>1.7278759594743862</v>
      </c>
      <c r="C369" s="6">
        <f t="shared" si="18"/>
        <v>-0.17278759594743853</v>
      </c>
      <c r="D369" s="6">
        <f>SUBSTITUTE(INDEX(ログ!P:P,$F$11+ROW(A368)-1),":","")*$G$5</f>
        <v>-2.0734511513692633</v>
      </c>
      <c r="E369" s="4"/>
      <c r="F369" s="2"/>
      <c r="G369" s="2"/>
      <c r="H369" s="5" t="e">
        <f t="shared" si="15"/>
        <v>#VALUE!</v>
      </c>
      <c r="I369" s="5" t="e">
        <f t="shared" si="16"/>
        <v>#VALUE!</v>
      </c>
      <c r="J369" s="5">
        <f>ROUNDDOWN(INDEX(ログ!S:S,$F$11+ROW(A368)-1) * $F$8,0)</f>
        <v>80</v>
      </c>
    </row>
    <row r="370" spans="1:10">
      <c r="A370" t="str">
        <f>INDEX(ログ!A:A,$F$11+ROW(A369)-1)</f>
        <v xml:space="preserve">  0 :  0  0  1</v>
      </c>
      <c r="B370" s="6">
        <f>INDEX(ログ!N:N,$F$11+ROW(A369)-1)*$G$5</f>
        <v>1.7278759594743862</v>
      </c>
      <c r="C370" s="6">
        <f t="shared" si="18"/>
        <v>-1.0367255756846316</v>
      </c>
      <c r="D370" s="6">
        <f>SUBSTITUTE(INDEX(ログ!P:P,$F$11+ROW(A369)-1),":","")*$G$5</f>
        <v>-3.8013271108436495</v>
      </c>
      <c r="E370" s="4"/>
      <c r="F370" s="2"/>
      <c r="G370" s="2"/>
      <c r="H370" s="5" t="e">
        <f t="shared" si="15"/>
        <v>#VALUE!</v>
      </c>
      <c r="I370" s="5" t="e">
        <f t="shared" si="16"/>
        <v>#VALUE!</v>
      </c>
      <c r="J370" s="5">
        <f>ROUNDDOWN(INDEX(ログ!S:S,$F$11+ROW(A369)-1) * $F$8,0)</f>
        <v>76</v>
      </c>
    </row>
    <row r="371" spans="1:10">
      <c r="A371" t="str">
        <f>INDEX(ログ!A:A,$F$11+ROW(A370)-1)</f>
        <v xml:space="preserve">  0 :  0  0  1</v>
      </c>
      <c r="B371" s="6">
        <f>INDEX(ログ!N:N,$F$11+ROW(A370)-1)*$G$5</f>
        <v>1.7278759594743862</v>
      </c>
      <c r="C371" s="6">
        <f t="shared" si="18"/>
        <v>-1.0367255756846316</v>
      </c>
      <c r="D371" s="6">
        <f>SUBSTITUTE(INDEX(ログ!P:P,$F$11+ROW(A370)-1),":","")*$G$5</f>
        <v>-3.8013271108436495</v>
      </c>
      <c r="E371" s="4"/>
      <c r="F371" s="2"/>
      <c r="G371" s="2"/>
      <c r="H371" s="5" t="e">
        <f t="shared" si="15"/>
        <v>#VALUE!</v>
      </c>
      <c r="I371" s="5" t="e">
        <f t="shared" si="16"/>
        <v>#VALUE!</v>
      </c>
      <c r="J371" s="5">
        <f>ROUNDDOWN(INDEX(ログ!S:S,$F$11+ROW(A370)-1) * $F$8,0)</f>
        <v>72</v>
      </c>
    </row>
    <row r="372" spans="1:10">
      <c r="A372" t="str">
        <f>INDEX(ログ!A:A,$F$11+ROW(A371)-1)</f>
        <v xml:space="preserve">  0 :  0  0  1</v>
      </c>
      <c r="B372" s="6">
        <f>INDEX(ログ!N:N,$F$11+ROW(A371)-1)*$G$5</f>
        <v>2.4190263432641408</v>
      </c>
      <c r="C372" s="6">
        <f t="shared" si="18"/>
        <v>-0.34557519189487707</v>
      </c>
      <c r="D372" s="6">
        <f>SUBSTITUTE(INDEX(ログ!P:P,$F$11+ROW(A371)-1),":","")*$G$5</f>
        <v>-3.1101767270538949</v>
      </c>
      <c r="E372" s="4"/>
      <c r="F372" s="2"/>
      <c r="G372" s="2"/>
      <c r="H372" s="5" t="e">
        <f t="shared" si="15"/>
        <v>#VALUE!</v>
      </c>
      <c r="I372" s="5" t="e">
        <f t="shared" si="16"/>
        <v>#VALUE!</v>
      </c>
      <c r="J372" s="5">
        <f>ROUNDDOWN(INDEX(ログ!S:S,$F$11+ROW(A371)-1) * $F$8,0)</f>
        <v>66</v>
      </c>
    </row>
    <row r="373" spans="1:10">
      <c r="A373" t="str">
        <f>INDEX(ログ!A:A,$F$11+ROW(A372)-1)</f>
        <v xml:space="preserve">  0 :  0  0  1</v>
      </c>
      <c r="B373" s="6">
        <f>INDEX(ログ!N:N,$F$11+ROW(A372)-1)*$G$5</f>
        <v>2.7646015351590179</v>
      </c>
      <c r="C373" s="6">
        <f t="shared" si="18"/>
        <v>-0.17278759594743853</v>
      </c>
      <c r="D373" s="6">
        <f>SUBSTITUTE(INDEX(ログ!P:P,$F$11+ROW(A372)-1),":","")*$G$5</f>
        <v>-3.1101767270538949</v>
      </c>
      <c r="E373" s="4"/>
      <c r="F373" s="2"/>
      <c r="G373" s="2"/>
      <c r="H373" s="5" t="e">
        <f t="shared" si="15"/>
        <v>#VALUE!</v>
      </c>
      <c r="I373" s="5" t="e">
        <f t="shared" si="16"/>
        <v>#VALUE!</v>
      </c>
      <c r="J373" s="5">
        <f>ROUNDDOWN(INDEX(ログ!S:S,$F$11+ROW(A372)-1) * $F$8,0)</f>
        <v>60</v>
      </c>
    </row>
    <row r="374" spans="1:10">
      <c r="A374" t="str">
        <f>INDEX(ログ!A:A,$F$11+ROW(A373)-1)</f>
        <v xml:space="preserve">  0 :  0  0  1</v>
      </c>
      <c r="B374" s="6">
        <f>INDEX(ログ!N:N,$F$11+ROW(A373)-1)*$G$5</f>
        <v>3.1101767270538949</v>
      </c>
      <c r="C374" s="6">
        <f t="shared" si="18"/>
        <v>0</v>
      </c>
      <c r="D374" s="6">
        <f>SUBSTITUTE(INDEX(ログ!P:P,$F$11+ROW(A373)-1),":","")*$G$5</f>
        <v>-3.1101767270538949</v>
      </c>
      <c r="E374" s="4"/>
      <c r="F374" s="2"/>
      <c r="G374" s="2"/>
      <c r="H374" s="5" t="e">
        <f t="shared" si="15"/>
        <v>#VALUE!</v>
      </c>
      <c r="I374" s="5" t="e">
        <f t="shared" si="16"/>
        <v>#VALUE!</v>
      </c>
      <c r="J374" s="5">
        <f>ROUNDDOWN(INDEX(ログ!S:S,$F$11+ROW(A373)-1) * $F$8,0)</f>
        <v>54</v>
      </c>
    </row>
    <row r="375" spans="1:10">
      <c r="A375" t="str">
        <f>INDEX(ログ!A:A,$F$11+ROW(A374)-1)</f>
        <v xml:space="preserve">  0 :  0  0  1</v>
      </c>
      <c r="B375" s="6">
        <f>INDEX(ログ!N:N,$F$11+ROW(A374)-1)*$G$5</f>
        <v>3.8013271108436495</v>
      </c>
      <c r="C375" s="6">
        <f t="shared" si="18"/>
        <v>0.34557519189487729</v>
      </c>
      <c r="D375" s="6">
        <f>SUBSTITUTE(INDEX(ログ!P:P,$F$11+ROW(A374)-1),":","")*$G$5</f>
        <v>-3.1101767270538949</v>
      </c>
      <c r="E375" s="4"/>
      <c r="F375" s="2"/>
      <c r="G375" s="2"/>
      <c r="H375" s="5" t="e">
        <f t="shared" si="15"/>
        <v>#VALUE!</v>
      </c>
      <c r="I375" s="5" t="e">
        <f t="shared" si="16"/>
        <v>#VALUE!</v>
      </c>
      <c r="J375" s="5">
        <f>ROUNDDOWN(INDEX(ログ!S:S,$F$11+ROW(A374)-1) * $F$8,0)</f>
        <v>48</v>
      </c>
    </row>
    <row r="376" spans="1:10">
      <c r="A376" t="str">
        <f>INDEX(ログ!A:A,$F$11+ROW(A375)-1)</f>
        <v xml:space="preserve">  0 :  0  0  1</v>
      </c>
      <c r="B376" s="6">
        <f>INDEX(ログ!N:N,$F$11+ROW(A375)-1)*$G$5</f>
        <v>3.4557519189487724</v>
      </c>
      <c r="C376" s="6">
        <f t="shared" si="18"/>
        <v>0</v>
      </c>
      <c r="D376" s="6">
        <f>SUBSTITUTE(INDEX(ログ!P:P,$F$11+ROW(A375)-1),":","")*$G$5</f>
        <v>-3.4557519189487724</v>
      </c>
      <c r="E376" s="4"/>
      <c r="F376" s="2"/>
      <c r="G376" s="2"/>
      <c r="H376" s="5" t="e">
        <f t="shared" si="15"/>
        <v>#VALUE!</v>
      </c>
      <c r="I376" s="5" t="e">
        <f t="shared" si="16"/>
        <v>#VALUE!</v>
      </c>
      <c r="J376" s="5">
        <f>ROUNDDOWN(INDEX(ログ!S:S,$F$11+ROW(A375)-1) * $F$8,0)</f>
        <v>42</v>
      </c>
    </row>
    <row r="377" spans="1:10">
      <c r="A377" t="str">
        <f>INDEX(ログ!A:A,$F$11+ROW(A376)-1)</f>
        <v xml:space="preserve">  0 :  0  0  1</v>
      </c>
      <c r="B377" s="6">
        <f>INDEX(ログ!N:N,$F$11+ROW(A376)-1)*$G$5</f>
        <v>3.4557519189487724</v>
      </c>
      <c r="C377" s="6">
        <f t="shared" si="18"/>
        <v>0</v>
      </c>
      <c r="D377" s="6">
        <f>SUBSTITUTE(INDEX(ログ!P:P,$F$11+ROW(A376)-1),":","")*$G$5</f>
        <v>-3.4557519189487724</v>
      </c>
      <c r="E377" s="4"/>
      <c r="F377" s="2"/>
      <c r="G377" s="2"/>
      <c r="H377" s="5" t="e">
        <f t="shared" si="15"/>
        <v>#VALUE!</v>
      </c>
      <c r="I377" s="5" t="e">
        <f t="shared" si="16"/>
        <v>#VALUE!</v>
      </c>
      <c r="J377" s="5">
        <f>ROUNDDOWN(INDEX(ログ!S:S,$F$11+ROW(A376)-1) * $F$8,0)</f>
        <v>36</v>
      </c>
    </row>
    <row r="378" spans="1:10">
      <c r="A378" t="str">
        <f>INDEX(ログ!A:A,$F$11+ROW(A377)-1)</f>
        <v xml:space="preserve">  0 :  0  0  1</v>
      </c>
      <c r="B378" s="6">
        <f>INDEX(ログ!N:N,$F$11+ROW(A377)-1)*$G$5</f>
        <v>3.4557519189487724</v>
      </c>
      <c r="C378" s="6">
        <f t="shared" si="18"/>
        <v>0</v>
      </c>
      <c r="D378" s="6">
        <f>SUBSTITUTE(INDEX(ログ!P:P,$F$11+ROW(A377)-1),":","")*$G$5</f>
        <v>-3.4557519189487724</v>
      </c>
      <c r="E378" s="4"/>
      <c r="F378" s="2"/>
      <c r="G378" s="2"/>
      <c r="H378" s="5" t="e">
        <f t="shared" si="15"/>
        <v>#VALUE!</v>
      </c>
      <c r="I378" s="5" t="e">
        <f t="shared" si="16"/>
        <v>#VALUE!</v>
      </c>
      <c r="J378" s="5">
        <f>ROUNDDOWN(INDEX(ログ!S:S,$F$11+ROW(A377)-1) * $F$8,0)</f>
        <v>22</v>
      </c>
    </row>
    <row r="379" spans="1:10">
      <c r="A379" t="str">
        <f>INDEX(ログ!A:A,$F$11+ROW(A378)-1)</f>
        <v xml:space="preserve">  0 :  0  0  1</v>
      </c>
      <c r="B379" s="6">
        <f>INDEX(ログ!N:N,$F$11+ROW(A378)-1)*$G$5</f>
        <v>3.1101767270538949</v>
      </c>
      <c r="C379" s="6">
        <f t="shared" si="18"/>
        <v>-0.17278759594743875</v>
      </c>
      <c r="D379" s="6">
        <f>SUBSTITUTE(INDEX(ログ!P:P,$F$11+ROW(A378)-1),":","")*$G$5</f>
        <v>-3.4557519189487724</v>
      </c>
      <c r="E379" s="4"/>
      <c r="F379" s="2"/>
      <c r="G379" s="2"/>
      <c r="H379" s="5" t="e">
        <f t="shared" si="15"/>
        <v>#VALUE!</v>
      </c>
      <c r="I379" s="5" t="e">
        <f t="shared" si="16"/>
        <v>#VALUE!</v>
      </c>
      <c r="J379" s="5">
        <f>ROUNDDOWN(INDEX(ログ!S:S,$F$11+ROW(A378)-1) * $F$8,0)</f>
        <v>16</v>
      </c>
    </row>
    <row r="380" spans="1:10">
      <c r="A380" t="str">
        <f>INDEX(ログ!A:A,$F$11+ROW(A379)-1)</f>
        <v xml:space="preserve">  0 :  0  0  1</v>
      </c>
      <c r="B380" s="6">
        <f>INDEX(ログ!N:N,$F$11+ROW(A379)-1)*$G$5</f>
        <v>3.1101767270538949</v>
      </c>
      <c r="C380" s="6">
        <f t="shared" si="18"/>
        <v>-0.17278759594743875</v>
      </c>
      <c r="D380" s="6">
        <f>SUBSTITUTE(INDEX(ログ!P:P,$F$11+ROW(A379)-1),":","")*$G$5</f>
        <v>-3.4557519189487724</v>
      </c>
      <c r="E380" s="4"/>
      <c r="F380" s="2"/>
      <c r="G380" s="2"/>
      <c r="H380" s="5" t="e">
        <f t="shared" si="15"/>
        <v>#VALUE!</v>
      </c>
      <c r="I380" s="5" t="e">
        <f t="shared" si="16"/>
        <v>#VALUE!</v>
      </c>
      <c r="J380" s="5">
        <f>ROUNDDOWN(INDEX(ログ!S:S,$F$11+ROW(A379)-1) * $F$8,0)</f>
        <v>10</v>
      </c>
    </row>
    <row r="381" spans="1:10">
      <c r="A381" t="str">
        <f>INDEX(ログ!A:A,$F$11+ROW(A380)-1)</f>
        <v xml:space="preserve">  0 :  0  0  1</v>
      </c>
      <c r="B381" s="6">
        <f>INDEX(ログ!N:N,$F$11+ROW(A380)-1)*$G$5</f>
        <v>2.4190263432641408</v>
      </c>
      <c r="C381" s="6">
        <f t="shared" si="18"/>
        <v>-0.34557519189487707</v>
      </c>
      <c r="D381" s="6">
        <f>SUBSTITUTE(INDEX(ログ!P:P,$F$11+ROW(A380)-1),":","")*$G$5</f>
        <v>-3.1101767270538949</v>
      </c>
      <c r="E381" s="4"/>
      <c r="F381" s="2"/>
      <c r="G381" s="2"/>
      <c r="H381" s="5" t="e">
        <f t="shared" si="15"/>
        <v>#VALUE!</v>
      </c>
      <c r="I381" s="5" t="e">
        <f t="shared" si="16"/>
        <v>#VALUE!</v>
      </c>
      <c r="J381" s="5">
        <f>ROUNDDOWN(INDEX(ログ!S:S,$F$11+ROW(A380)-1) * $F$8,0)</f>
        <v>4</v>
      </c>
    </row>
    <row r="382" spans="1:10">
      <c r="A382" t="str">
        <f>INDEX(ログ!A:A,$F$11+ROW(A381)-1)</f>
        <v xml:space="preserve">  0 :  0  0  1</v>
      </c>
      <c r="B382" s="6">
        <f>INDEX(ログ!N:N,$F$11+ROW(A381)-1)*$G$5</f>
        <v>2.0734511513692633</v>
      </c>
      <c r="C382" s="6">
        <f t="shared" si="18"/>
        <v>0</v>
      </c>
      <c r="D382" s="6">
        <f>SUBSTITUTE(INDEX(ログ!P:P,$F$11+ROW(A381)-1),":","")*$G$5</f>
        <v>-2.0734511513692633</v>
      </c>
      <c r="E382" s="4"/>
      <c r="F382" s="2"/>
      <c r="G382" s="2"/>
      <c r="H382" s="5" t="e">
        <f t="shared" si="15"/>
        <v>#VALUE!</v>
      </c>
      <c r="I382" s="5" t="e">
        <f t="shared" si="16"/>
        <v>#VALUE!</v>
      </c>
      <c r="J382" s="5">
        <f>ROUNDDOWN(INDEX(ログ!S:S,$F$11+ROW(A381)-1) * $F$8,0)</f>
        <v>0</v>
      </c>
    </row>
    <row r="383" spans="1:10">
      <c r="A383" t="str">
        <f>INDEX(ログ!A:A,$F$11+ROW(A382)-1)</f>
        <v xml:space="preserve">  0 :  0  0  1</v>
      </c>
      <c r="B383" s="6">
        <f>INDEX(ログ!N:N,$F$11+ROW(A382)-1)*$G$5</f>
        <v>1.3823007675795089</v>
      </c>
      <c r="C383" s="6">
        <f t="shared" si="18"/>
        <v>0.17278759594743864</v>
      </c>
      <c r="D383" s="6">
        <f>SUBSTITUTE(INDEX(ログ!P:P,$F$11+ROW(A382)-1),":","")*$G$5</f>
        <v>-1.0367255756846316</v>
      </c>
      <c r="E383" s="4"/>
      <c r="F383" s="2"/>
      <c r="G383" s="2"/>
      <c r="H383" s="5" t="e">
        <f t="shared" ref="H383:H446" si="19">H382+(C383*COS(RADIANS(J382)))</f>
        <v>#VALUE!</v>
      </c>
      <c r="I383" s="5" t="e">
        <f t="shared" ref="I383:I446" si="20">I382+(C383*SIN(RADIANS(J382)))</f>
        <v>#VALUE!</v>
      </c>
      <c r="J383" s="5">
        <f>ROUNDDOWN(INDEX(ログ!S:S,$F$11+ROW(A382)-1) * $F$8,0)</f>
        <v>-4</v>
      </c>
    </row>
    <row r="384" spans="1:10">
      <c r="A384" t="str">
        <f>INDEX(ログ!A:A,$F$11+ROW(A383)-1)</f>
        <v xml:space="preserve">  0 :  0  0  1</v>
      </c>
      <c r="B384" s="6">
        <f>INDEX(ログ!N:N,$F$11+ROW(A383)-1)*$G$5</f>
        <v>1.0367255756846316</v>
      </c>
      <c r="C384" s="6">
        <f t="shared" si="18"/>
        <v>0.34557519189487718</v>
      </c>
      <c r="D384" s="6">
        <f>SUBSTITUTE(INDEX(ログ!P:P,$F$11+ROW(A383)-1),":","")*$G$5</f>
        <v>-0.34557519189487723</v>
      </c>
      <c r="E384" s="4"/>
      <c r="F384" s="2"/>
      <c r="G384" s="2"/>
      <c r="H384" s="5" t="e">
        <f t="shared" si="19"/>
        <v>#VALUE!</v>
      </c>
      <c r="I384" s="5" t="e">
        <f t="shared" si="20"/>
        <v>#VALUE!</v>
      </c>
      <c r="J384" s="5">
        <f>ROUNDDOWN(INDEX(ログ!S:S,$F$11+ROW(A383)-1) * $F$8,0)</f>
        <v>-6</v>
      </c>
    </row>
    <row r="385" spans="1:10">
      <c r="A385" t="str">
        <f>INDEX(ログ!A:A,$F$11+ROW(A384)-1)</f>
        <v xml:space="preserve">  0 :  0  0  1</v>
      </c>
      <c r="B385" s="6">
        <f>INDEX(ログ!N:N,$F$11+ROW(A384)-1)*$G$5</f>
        <v>0.34557519189487723</v>
      </c>
      <c r="C385" s="6">
        <f t="shared" si="18"/>
        <v>0.51836278784231582</v>
      </c>
      <c r="D385" s="6">
        <f>SUBSTITUTE(INDEX(ログ!P:P,$F$11+ROW(A384)-1),":","")*$G$5</f>
        <v>0.69115038378975446</v>
      </c>
      <c r="E385" s="4"/>
      <c r="F385" s="2"/>
      <c r="G385" s="2"/>
      <c r="H385" s="5" t="e">
        <f t="shared" si="19"/>
        <v>#VALUE!</v>
      </c>
      <c r="I385" s="5" t="e">
        <f t="shared" si="20"/>
        <v>#VALUE!</v>
      </c>
      <c r="J385" s="5">
        <f>ROUNDDOWN(INDEX(ログ!S:S,$F$11+ROW(A384)-1) * $F$8,0)</f>
        <v>-6</v>
      </c>
    </row>
    <row r="386" spans="1:10">
      <c r="A386" t="str">
        <f>INDEX(ログ!A:A,$F$11+ROW(A385)-1)</f>
        <v xml:space="preserve">  0 :  0  0  1</v>
      </c>
      <c r="B386" s="6">
        <f>INDEX(ログ!N:N,$F$11+ROW(A385)-1)*$G$5</f>
        <v>0.34557519189487723</v>
      </c>
      <c r="C386" s="6">
        <f t="shared" si="18"/>
        <v>0.51836278784231582</v>
      </c>
      <c r="D386" s="6">
        <f>SUBSTITUTE(INDEX(ログ!P:P,$F$11+ROW(A385)-1),":","")*$G$5</f>
        <v>0.69115038378975446</v>
      </c>
      <c r="E386" s="4"/>
      <c r="F386" s="2"/>
      <c r="G386" s="2"/>
      <c r="H386" s="5" t="e">
        <f t="shared" si="19"/>
        <v>#VALUE!</v>
      </c>
      <c r="I386" s="5" t="e">
        <f t="shared" si="20"/>
        <v>#VALUE!</v>
      </c>
      <c r="J386" s="5">
        <f>ROUNDDOWN(INDEX(ログ!S:S,$F$11+ROW(A385)-1) * $F$8,0)</f>
        <v>-6</v>
      </c>
    </row>
    <row r="387" spans="1:10">
      <c r="A387" t="str">
        <f>INDEX(ログ!A:A,$F$11+ROW(A386)-1)</f>
        <v xml:space="preserve">  0 :  0  0  1</v>
      </c>
      <c r="B387" s="6">
        <f>INDEX(ログ!N:N,$F$11+ROW(A386)-1)*$G$5</f>
        <v>0.34557519189487723</v>
      </c>
      <c r="C387" s="6">
        <f t="shared" si="18"/>
        <v>0.86393797973719311</v>
      </c>
      <c r="D387" s="6">
        <f>SUBSTITUTE(INDEX(ログ!P:P,$F$11+ROW(A386)-1),":","")*$G$5</f>
        <v>1.3823007675795089</v>
      </c>
      <c r="E387" s="4"/>
      <c r="F387" s="2"/>
      <c r="G387" s="2"/>
      <c r="H387" s="5" t="e">
        <f t="shared" si="19"/>
        <v>#VALUE!</v>
      </c>
      <c r="I387" s="5" t="e">
        <f t="shared" si="20"/>
        <v>#VALUE!</v>
      </c>
      <c r="J387" s="5">
        <f>ROUNDDOWN(INDEX(ログ!S:S,$F$11+ROW(A386)-1) * $F$8,0)</f>
        <v>-4</v>
      </c>
    </row>
    <row r="388" spans="1:10">
      <c r="A388" t="str">
        <f>INDEX(ログ!A:A,$F$11+ROW(A387)-1)</f>
        <v xml:space="preserve">  0 :  0  0  1</v>
      </c>
      <c r="B388" s="6">
        <f>INDEX(ログ!N:N,$F$11+ROW(A387)-1)*$G$5</f>
        <v>0.34557519189487723</v>
      </c>
      <c r="C388" s="6">
        <f t="shared" si="18"/>
        <v>0.86393797973719311</v>
      </c>
      <c r="D388" s="6">
        <f>SUBSTITUTE(INDEX(ログ!P:P,$F$11+ROW(A387)-1),":","")*$G$5</f>
        <v>1.3823007675795089</v>
      </c>
      <c r="E388" s="4"/>
      <c r="F388" s="2"/>
      <c r="G388" s="2"/>
      <c r="H388" s="5" t="e">
        <f t="shared" si="19"/>
        <v>#VALUE!</v>
      </c>
      <c r="I388" s="5" t="e">
        <f t="shared" si="20"/>
        <v>#VALUE!</v>
      </c>
      <c r="J388" s="5">
        <f>ROUNDDOWN(INDEX(ログ!S:S,$F$11+ROW(A387)-1) * $F$8,0)</f>
        <v>-4</v>
      </c>
    </row>
    <row r="389" spans="1:10">
      <c r="A389" t="str">
        <f>INDEX(ログ!A:A,$F$11+ROW(A388)-1)</f>
        <v xml:space="preserve">  0 :  0  0  1</v>
      </c>
      <c r="B389" s="6">
        <f>INDEX(ログ!N:N,$F$11+ROW(A388)-1)*$G$5</f>
        <v>0</v>
      </c>
      <c r="C389" s="6">
        <f t="shared" ref="C389:C452" si="21">(B389+D389)/2</f>
        <v>0.86393797973719311</v>
      </c>
      <c r="D389" s="6">
        <f>SUBSTITUTE(INDEX(ログ!P:P,$F$11+ROW(A388)-1),":","")*$G$5</f>
        <v>1.7278759594743862</v>
      </c>
      <c r="E389" s="4"/>
      <c r="F389" s="2"/>
      <c r="G389" s="2"/>
      <c r="H389" s="5" t="e">
        <f t="shared" si="19"/>
        <v>#VALUE!</v>
      </c>
      <c r="I389" s="5" t="e">
        <f t="shared" si="20"/>
        <v>#VALUE!</v>
      </c>
      <c r="J389" s="5">
        <f>ROUNDDOWN(INDEX(ログ!S:S,$F$11+ROW(A388)-1) * $F$8,0)</f>
        <v>-2</v>
      </c>
    </row>
    <row r="390" spans="1:10">
      <c r="A390" t="str">
        <f>INDEX(ログ!A:A,$F$11+ROW(A389)-1)</f>
        <v xml:space="preserve">  0 :  0  0  2</v>
      </c>
      <c r="B390" s="6">
        <f>INDEX(ログ!N:N,$F$11+ROW(A389)-1)*$G$5</f>
        <v>0</v>
      </c>
      <c r="C390" s="6">
        <f t="shared" si="21"/>
        <v>0.69115038378975446</v>
      </c>
      <c r="D390" s="6">
        <f>SUBSTITUTE(INDEX(ログ!P:P,$F$11+ROW(A389)-1),":","")*$G$5</f>
        <v>1.3823007675795089</v>
      </c>
      <c r="E390" s="4"/>
      <c r="F390" s="2"/>
      <c r="G390" s="2"/>
      <c r="H390" s="5" t="e">
        <f t="shared" si="19"/>
        <v>#VALUE!</v>
      </c>
      <c r="I390" s="5" t="e">
        <f t="shared" si="20"/>
        <v>#VALUE!</v>
      </c>
      <c r="J390" s="5">
        <f>ROUNDDOWN(INDEX(ログ!S:S,$F$11+ROW(A389)-1) * $F$8,0)</f>
        <v>0</v>
      </c>
    </row>
    <row r="391" spans="1:10">
      <c r="A391" t="str">
        <f>INDEX(ログ!A:A,$F$11+ROW(A390)-1)</f>
        <v xml:space="preserve">  0 :  0  0  2</v>
      </c>
      <c r="B391" s="6">
        <f>INDEX(ログ!N:N,$F$11+ROW(A390)-1)*$G$5</f>
        <v>-0.34557519189487723</v>
      </c>
      <c r="C391" s="6">
        <f t="shared" si="21"/>
        <v>0</v>
      </c>
      <c r="D391" s="6">
        <f>SUBSTITUTE(INDEX(ログ!P:P,$F$11+ROW(A390)-1),":","")*$G$5</f>
        <v>0.34557519189487723</v>
      </c>
      <c r="E391" s="4"/>
      <c r="F391" s="2"/>
      <c r="G391" s="2"/>
      <c r="H391" s="5" t="e">
        <f t="shared" si="19"/>
        <v>#VALUE!</v>
      </c>
      <c r="I391" s="5" t="e">
        <f t="shared" si="20"/>
        <v>#VALUE!</v>
      </c>
      <c r="J391" s="5">
        <f>ROUNDDOWN(INDEX(ログ!S:S,$F$11+ROW(A390)-1) * $F$8,0)</f>
        <v>0</v>
      </c>
    </row>
    <row r="392" spans="1:10">
      <c r="A392" t="str">
        <f>INDEX(ログ!A:A,$F$11+ROW(A391)-1)</f>
        <v xml:space="preserve">  0 :  0  0  2</v>
      </c>
      <c r="B392" s="6">
        <f>INDEX(ログ!N:N,$F$11+ROW(A391)-1)*$G$5</f>
        <v>-0.69115038378975446</v>
      </c>
      <c r="C392" s="6">
        <f t="shared" si="21"/>
        <v>-0.51836278784231582</v>
      </c>
      <c r="D392" s="6">
        <f>SUBSTITUTE(INDEX(ログ!P:P,$F$11+ROW(A391)-1),":","")*$G$5</f>
        <v>-0.34557519189487723</v>
      </c>
      <c r="E392" s="4"/>
      <c r="F392" s="2"/>
      <c r="G392" s="2"/>
      <c r="H392" s="5" t="e">
        <f t="shared" si="19"/>
        <v>#VALUE!</v>
      </c>
      <c r="I392" s="5" t="e">
        <f t="shared" si="20"/>
        <v>#VALUE!</v>
      </c>
      <c r="J392" s="5">
        <f>ROUNDDOWN(INDEX(ログ!S:S,$F$11+ROW(A391)-1) * $F$8,0)</f>
        <v>0</v>
      </c>
    </row>
    <row r="393" spans="1:10">
      <c r="A393" t="str">
        <f>INDEX(ログ!A:A,$F$11+ROW(A392)-1)</f>
        <v xml:space="preserve">  0 :  0  0  2</v>
      </c>
      <c r="B393" s="6">
        <f>INDEX(ログ!N:N,$F$11+ROW(A392)-1)*$G$5</f>
        <v>-0.69115038378975446</v>
      </c>
      <c r="C393" s="6">
        <f t="shared" si="21"/>
        <v>-0.69115038378975446</v>
      </c>
      <c r="D393" s="6">
        <f>SUBSTITUTE(INDEX(ログ!P:P,$F$11+ROW(A392)-1),":","")*$G$5</f>
        <v>-0.69115038378975446</v>
      </c>
      <c r="E393" s="4"/>
      <c r="F393" s="2"/>
      <c r="G393" s="2"/>
      <c r="H393" s="5" t="e">
        <f t="shared" si="19"/>
        <v>#VALUE!</v>
      </c>
      <c r="I393" s="5" t="e">
        <f t="shared" si="20"/>
        <v>#VALUE!</v>
      </c>
      <c r="J393" s="5">
        <f>ROUNDDOWN(INDEX(ログ!S:S,$F$11+ROW(A392)-1) * $F$8,0)</f>
        <v>0</v>
      </c>
    </row>
    <row r="394" spans="1:10">
      <c r="A394" t="str">
        <f>INDEX(ログ!A:A,$F$11+ROW(A393)-1)</f>
        <v xml:space="preserve">  0 :  0  0  2</v>
      </c>
      <c r="B394" s="6">
        <f>INDEX(ログ!N:N,$F$11+ROW(A393)-1)*$G$5</f>
        <v>-1.0367255756846316</v>
      </c>
      <c r="C394" s="6">
        <f t="shared" si="21"/>
        <v>-1.2095131716320702</v>
      </c>
      <c r="D394" s="6">
        <f>SUBSTITUTE(INDEX(ログ!P:P,$F$11+ROW(A393)-1),":","")*$G$5</f>
        <v>-1.3823007675795089</v>
      </c>
      <c r="E394" s="4"/>
      <c r="F394" s="2"/>
      <c r="G394" s="2"/>
      <c r="H394" s="5" t="e">
        <f t="shared" si="19"/>
        <v>#VALUE!</v>
      </c>
      <c r="I394" s="5" t="e">
        <f t="shared" si="20"/>
        <v>#VALUE!</v>
      </c>
      <c r="J394" s="5">
        <f>ROUNDDOWN(INDEX(ログ!S:S,$F$11+ROW(A393)-1) * $F$8,0)</f>
        <v>0</v>
      </c>
    </row>
    <row r="395" spans="1:10">
      <c r="A395" t="str">
        <f>INDEX(ログ!A:A,$F$11+ROW(A394)-1)</f>
        <v xml:space="preserve">  0 :  0  0  2</v>
      </c>
      <c r="B395" s="6">
        <f>INDEX(ログ!N:N,$F$11+ROW(A394)-1)*$G$5</f>
        <v>-1.3823007675795089</v>
      </c>
      <c r="C395" s="6">
        <f t="shared" si="21"/>
        <v>-1.3823007675795089</v>
      </c>
      <c r="D395" s="6">
        <f>SUBSTITUTE(INDEX(ログ!P:P,$F$11+ROW(A394)-1),":","")*$G$5</f>
        <v>-1.3823007675795089</v>
      </c>
      <c r="E395" s="4"/>
      <c r="F395" s="2"/>
      <c r="G395" s="2"/>
      <c r="H395" s="5" t="e">
        <f t="shared" si="19"/>
        <v>#VALUE!</v>
      </c>
      <c r="I395" s="5" t="e">
        <f t="shared" si="20"/>
        <v>#VALUE!</v>
      </c>
      <c r="J395" s="5">
        <f>ROUNDDOWN(INDEX(ログ!S:S,$F$11+ROW(A394)-1) * $F$8,0)</f>
        <v>0</v>
      </c>
    </row>
    <row r="396" spans="1:10">
      <c r="A396" t="str">
        <f>INDEX(ログ!A:A,$F$11+ROW(A395)-1)</f>
        <v xml:space="preserve">  0 :  0  0  2</v>
      </c>
      <c r="B396" s="6">
        <f>INDEX(ログ!N:N,$F$11+ROW(A395)-1)*$G$5</f>
        <v>-1.3823007675795089</v>
      </c>
      <c r="C396" s="6">
        <f t="shared" si="21"/>
        <v>-1.3823007675795089</v>
      </c>
      <c r="D396" s="6">
        <f>SUBSTITUTE(INDEX(ログ!P:P,$F$11+ROW(A395)-1),":","")*$G$5</f>
        <v>-1.3823007675795089</v>
      </c>
      <c r="E396" s="4"/>
      <c r="F396" s="2"/>
      <c r="G396" s="2"/>
      <c r="H396" s="5" t="e">
        <f t="shared" si="19"/>
        <v>#VALUE!</v>
      </c>
      <c r="I396" s="5" t="e">
        <f t="shared" si="20"/>
        <v>#VALUE!</v>
      </c>
      <c r="J396" s="5">
        <f>ROUNDDOWN(INDEX(ログ!S:S,$F$11+ROW(A395)-1) * $F$8,0)</f>
        <v>0</v>
      </c>
    </row>
    <row r="397" spans="1:10">
      <c r="A397" t="str">
        <f>INDEX(ログ!A:A,$F$11+ROW(A396)-1)</f>
        <v xml:space="preserve">  0 :  0  0  2</v>
      </c>
      <c r="B397" s="6">
        <f>INDEX(ログ!N:N,$F$11+ROW(A396)-1)*$G$5</f>
        <v>-1.3823007675795089</v>
      </c>
      <c r="C397" s="6">
        <f t="shared" si="21"/>
        <v>-1.5550883635269477</v>
      </c>
      <c r="D397" s="6">
        <f>SUBSTITUTE(INDEX(ログ!P:P,$F$11+ROW(A396)-1),":","")*$G$5</f>
        <v>-1.7278759594743862</v>
      </c>
      <c r="E397" s="4"/>
      <c r="F397" s="2"/>
      <c r="G397" s="2"/>
      <c r="H397" s="5" t="e">
        <f t="shared" si="19"/>
        <v>#VALUE!</v>
      </c>
      <c r="I397" s="5" t="e">
        <f t="shared" si="20"/>
        <v>#VALUE!</v>
      </c>
      <c r="J397" s="5">
        <f>ROUNDDOWN(INDEX(ログ!S:S,$F$11+ROW(A396)-1) * $F$8,0)</f>
        <v>0</v>
      </c>
    </row>
    <row r="398" spans="1:10">
      <c r="A398" t="str">
        <f>INDEX(ログ!A:A,$F$11+ROW(A397)-1)</f>
        <v xml:space="preserve">  0 :  0  0  2</v>
      </c>
      <c r="B398" s="6">
        <f>INDEX(ログ!N:N,$F$11+ROW(A397)-1)*$G$5</f>
        <v>-1.3823007675795089</v>
      </c>
      <c r="C398" s="6">
        <f t="shared" si="21"/>
        <v>-1.5550883635269477</v>
      </c>
      <c r="D398" s="6">
        <f>SUBSTITUTE(INDEX(ログ!P:P,$F$11+ROW(A397)-1),":","")*$G$5</f>
        <v>-1.7278759594743862</v>
      </c>
      <c r="E398" s="4"/>
      <c r="F398" s="2"/>
      <c r="G398" s="2"/>
      <c r="H398" s="5" t="e">
        <f t="shared" si="19"/>
        <v>#VALUE!</v>
      </c>
      <c r="I398" s="5" t="e">
        <f t="shared" si="20"/>
        <v>#VALUE!</v>
      </c>
      <c r="J398" s="5">
        <f>ROUNDDOWN(INDEX(ログ!S:S,$F$11+ROW(A397)-1) * $F$8,0)</f>
        <v>0</v>
      </c>
    </row>
    <row r="399" spans="1:10">
      <c r="A399" t="str">
        <f>INDEX(ログ!A:A,$F$11+ROW(A398)-1)</f>
        <v xml:space="preserve">  0 :  0  0  2</v>
      </c>
      <c r="B399" s="6">
        <f>INDEX(ログ!N:N,$F$11+ROW(A398)-1)*$G$5</f>
        <v>-1.3823007675795089</v>
      </c>
      <c r="C399" s="6">
        <f t="shared" si="21"/>
        <v>-1.7278759594743862</v>
      </c>
      <c r="D399" s="6">
        <f>SUBSTITUTE(INDEX(ログ!P:P,$F$11+ROW(A398)-1),":","")*$G$5</f>
        <v>-2.0734511513692633</v>
      </c>
      <c r="E399" s="4"/>
      <c r="F399" s="2"/>
      <c r="G399" s="2"/>
      <c r="H399" s="5" t="e">
        <f t="shared" si="19"/>
        <v>#VALUE!</v>
      </c>
      <c r="I399" s="5" t="e">
        <f t="shared" si="20"/>
        <v>#VALUE!</v>
      </c>
      <c r="J399" s="5">
        <f>ROUNDDOWN(INDEX(ログ!S:S,$F$11+ROW(A398)-1) * $F$8,0)</f>
        <v>-2</v>
      </c>
    </row>
    <row r="400" spans="1:10">
      <c r="A400" t="str">
        <f>INDEX(ログ!A:A,$F$11+ROW(A399)-1)</f>
        <v xml:space="preserve">  0 :  0  0  2</v>
      </c>
      <c r="B400" s="6">
        <f>INDEX(ログ!N:N,$F$11+ROW(A399)-1)*$G$5</f>
        <v>-1.3823007675795089</v>
      </c>
      <c r="C400" s="6">
        <f t="shared" si="21"/>
        <v>-1.9006635554218247</v>
      </c>
      <c r="D400" s="6">
        <f>SUBSTITUTE(INDEX(ログ!P:P,$F$11+ROW(A399)-1),":","")*$G$5</f>
        <v>-2.4190263432641408</v>
      </c>
      <c r="E400" s="4"/>
      <c r="F400" s="2"/>
      <c r="G400" s="2"/>
      <c r="H400" s="5" t="e">
        <f t="shared" si="19"/>
        <v>#VALUE!</v>
      </c>
      <c r="I400" s="5" t="e">
        <f t="shared" si="20"/>
        <v>#VALUE!</v>
      </c>
      <c r="J400" s="5">
        <f>ROUNDDOWN(INDEX(ログ!S:S,$F$11+ROW(A399)-1) * $F$8,0)</f>
        <v>-2</v>
      </c>
    </row>
    <row r="401" spans="1:10">
      <c r="A401" t="str">
        <f>INDEX(ログ!A:A,$F$11+ROW(A400)-1)</f>
        <v xml:space="preserve">  0 :  0  0  2</v>
      </c>
      <c r="B401" s="6">
        <f>INDEX(ログ!N:N,$F$11+ROW(A400)-1)*$G$5</f>
        <v>-1.7278759594743862</v>
      </c>
      <c r="C401" s="6">
        <f t="shared" si="21"/>
        <v>-1.9006635554218247</v>
      </c>
      <c r="D401" s="6">
        <f>SUBSTITUTE(INDEX(ログ!P:P,$F$11+ROW(A400)-1),":","")*$G$5</f>
        <v>-2.0734511513692633</v>
      </c>
      <c r="E401" s="4"/>
      <c r="F401" s="2"/>
      <c r="G401" s="2"/>
      <c r="H401" s="5" t="e">
        <f t="shared" si="19"/>
        <v>#VALUE!</v>
      </c>
      <c r="I401" s="5" t="e">
        <f t="shared" si="20"/>
        <v>#VALUE!</v>
      </c>
      <c r="J401" s="5">
        <f>ROUNDDOWN(INDEX(ログ!S:S,$F$11+ROW(A400)-1) * $F$8,0)</f>
        <v>-2</v>
      </c>
    </row>
    <row r="402" spans="1:10">
      <c r="A402" t="str">
        <f>INDEX(ログ!A:A,$F$11+ROW(A401)-1)</f>
        <v xml:space="preserve">  0 :  0  0  2</v>
      </c>
      <c r="B402" s="6">
        <f>INDEX(ログ!N:N,$F$11+ROW(A401)-1)*$G$5</f>
        <v>-1.3823007675795089</v>
      </c>
      <c r="C402" s="6">
        <f t="shared" si="21"/>
        <v>-1.9006635554218247</v>
      </c>
      <c r="D402" s="6">
        <f>SUBSTITUTE(INDEX(ログ!P:P,$F$11+ROW(A401)-1),":","")*$G$5</f>
        <v>-2.4190263432641408</v>
      </c>
      <c r="E402" s="4"/>
      <c r="F402" s="2"/>
      <c r="G402" s="2"/>
      <c r="H402" s="5" t="e">
        <f t="shared" si="19"/>
        <v>#VALUE!</v>
      </c>
      <c r="I402" s="5" t="e">
        <f t="shared" si="20"/>
        <v>#VALUE!</v>
      </c>
      <c r="J402" s="5">
        <f>ROUNDDOWN(INDEX(ログ!S:S,$F$11+ROW(A401)-1) * $F$8,0)</f>
        <v>-2</v>
      </c>
    </row>
    <row r="403" spans="1:10">
      <c r="A403" t="str">
        <f>INDEX(ログ!A:A,$F$11+ROW(A402)-1)</f>
        <v xml:space="preserve">  0 :  0  0  2</v>
      </c>
      <c r="B403" s="6">
        <f>INDEX(ログ!N:N,$F$11+ROW(A402)-1)*$G$5</f>
        <v>-1.7278759594743862</v>
      </c>
      <c r="C403" s="6">
        <f t="shared" si="21"/>
        <v>-2.0734511513692633</v>
      </c>
      <c r="D403" s="6">
        <f>SUBSTITUTE(INDEX(ログ!P:P,$F$11+ROW(A402)-1),":","")*$G$5</f>
        <v>-2.4190263432641408</v>
      </c>
      <c r="E403" s="4"/>
      <c r="F403" s="2"/>
      <c r="G403" s="2"/>
      <c r="H403" s="5" t="e">
        <f t="shared" si="19"/>
        <v>#VALUE!</v>
      </c>
      <c r="I403" s="5" t="e">
        <f t="shared" si="20"/>
        <v>#VALUE!</v>
      </c>
      <c r="J403" s="5">
        <f>ROUNDDOWN(INDEX(ログ!S:S,$F$11+ROW(A402)-1) * $F$8,0)</f>
        <v>-4</v>
      </c>
    </row>
    <row r="404" spans="1:10">
      <c r="A404" t="str">
        <f>INDEX(ログ!A:A,$F$11+ROW(A403)-1)</f>
        <v xml:space="preserve">  0 :  0  0  2</v>
      </c>
      <c r="B404" s="6">
        <f>INDEX(ログ!N:N,$F$11+ROW(A403)-1)*$G$5</f>
        <v>-1.7278759594743862</v>
      </c>
      <c r="C404" s="6">
        <f t="shared" si="21"/>
        <v>-2.0734511513692633</v>
      </c>
      <c r="D404" s="6">
        <f>SUBSTITUTE(INDEX(ログ!P:P,$F$11+ROW(A403)-1),":","")*$G$5</f>
        <v>-2.4190263432641408</v>
      </c>
      <c r="E404" s="4"/>
      <c r="F404" s="2"/>
      <c r="G404" s="2"/>
      <c r="H404" s="5" t="e">
        <f t="shared" si="19"/>
        <v>#VALUE!</v>
      </c>
      <c r="I404" s="5" t="e">
        <f t="shared" si="20"/>
        <v>#VALUE!</v>
      </c>
      <c r="J404" s="5">
        <f>ROUNDDOWN(INDEX(ログ!S:S,$F$11+ROW(A403)-1) * $F$8,0)</f>
        <v>-4</v>
      </c>
    </row>
    <row r="405" spans="1:10">
      <c r="A405" t="str">
        <f>INDEX(ログ!A:A,$F$11+ROW(A404)-1)</f>
        <v xml:space="preserve">  0 :  0  0  2</v>
      </c>
      <c r="B405" s="6">
        <f>INDEX(ログ!N:N,$F$11+ROW(A404)-1)*$G$5</f>
        <v>-1.7278759594743862</v>
      </c>
      <c r="C405" s="6">
        <f t="shared" si="21"/>
        <v>-1.9006635554218247</v>
      </c>
      <c r="D405" s="6">
        <f>SUBSTITUTE(INDEX(ログ!P:P,$F$11+ROW(A404)-1),":","")*$G$5</f>
        <v>-2.0734511513692633</v>
      </c>
      <c r="E405" s="4"/>
      <c r="F405" s="2"/>
      <c r="G405" s="2"/>
      <c r="H405" s="5" t="e">
        <f t="shared" si="19"/>
        <v>#VALUE!</v>
      </c>
      <c r="I405" s="5" t="e">
        <f t="shared" si="20"/>
        <v>#VALUE!</v>
      </c>
      <c r="J405" s="5">
        <f>ROUNDDOWN(INDEX(ログ!S:S,$F$11+ROW(A404)-1) * $F$8,0)</f>
        <v>-4</v>
      </c>
    </row>
    <row r="406" spans="1:10">
      <c r="A406" t="str">
        <f>INDEX(ログ!A:A,$F$11+ROW(A405)-1)</f>
        <v xml:space="preserve">  0 :  0  0  2</v>
      </c>
      <c r="B406" s="6">
        <f>INDEX(ログ!N:N,$F$11+ROW(A405)-1)*$G$5</f>
        <v>-0.69115038378975446</v>
      </c>
      <c r="C406" s="6">
        <f t="shared" si="21"/>
        <v>-1.0367255756846316</v>
      </c>
      <c r="D406" s="6">
        <f>SUBSTITUTE(INDEX(ログ!P:P,$F$11+ROW(A405)-1),":","")*$G$5</f>
        <v>-1.3823007675795089</v>
      </c>
      <c r="E406" s="4"/>
      <c r="F406" s="2"/>
      <c r="G406" s="2"/>
      <c r="H406" s="5" t="e">
        <f t="shared" si="19"/>
        <v>#VALUE!</v>
      </c>
      <c r="I406" s="5" t="e">
        <f t="shared" si="20"/>
        <v>#VALUE!</v>
      </c>
      <c r="J406" s="5">
        <f>ROUNDDOWN(INDEX(ログ!S:S,$F$11+ROW(A405)-1) * $F$8,0)</f>
        <v>-6</v>
      </c>
    </row>
    <row r="407" spans="1:10">
      <c r="A407" t="str">
        <f>INDEX(ログ!A:A,$F$11+ROW(A406)-1)</f>
        <v xml:space="preserve">  0 :  0  0  2</v>
      </c>
      <c r="B407" s="6">
        <f>INDEX(ログ!N:N,$F$11+ROW(A406)-1)*$G$5</f>
        <v>0</v>
      </c>
      <c r="C407" s="6">
        <f t="shared" si="21"/>
        <v>-0.17278759594743862</v>
      </c>
      <c r="D407" s="6">
        <f>SUBSTITUTE(INDEX(ログ!P:P,$F$11+ROW(A406)-1),":","")*$G$5</f>
        <v>-0.34557519189487723</v>
      </c>
      <c r="E407" s="4"/>
      <c r="F407" s="2"/>
      <c r="G407" s="2"/>
      <c r="H407" s="5" t="e">
        <f t="shared" si="19"/>
        <v>#VALUE!</v>
      </c>
      <c r="I407" s="5" t="e">
        <f t="shared" si="20"/>
        <v>#VALUE!</v>
      </c>
      <c r="J407" s="5">
        <f>ROUNDDOWN(INDEX(ログ!S:S,$F$11+ROW(A406)-1) * $F$8,0)</f>
        <v>-6</v>
      </c>
    </row>
    <row r="408" spans="1:10">
      <c r="A408" t="str">
        <f>INDEX(ログ!A:A,$F$11+ROW(A407)-1)</f>
        <v xml:space="preserve">  0 :  0  0  2</v>
      </c>
      <c r="B408" s="6">
        <f>INDEX(ログ!N:N,$F$11+ROW(A407)-1)*$G$5</f>
        <v>0.34557519189487723</v>
      </c>
      <c r="C408" s="6">
        <f t="shared" si="21"/>
        <v>0.17278759594743862</v>
      </c>
      <c r="D408" s="6">
        <f>SUBSTITUTE(INDEX(ログ!P:P,$F$11+ROW(A407)-1),":","")*$G$5</f>
        <v>0</v>
      </c>
      <c r="E408" s="4"/>
      <c r="F408" s="2"/>
      <c r="G408" s="2"/>
      <c r="H408" s="5" t="e">
        <f t="shared" si="19"/>
        <v>#VALUE!</v>
      </c>
      <c r="I408" s="5" t="e">
        <f t="shared" si="20"/>
        <v>#VALUE!</v>
      </c>
      <c r="J408" s="5">
        <f>ROUNDDOWN(INDEX(ログ!S:S,$F$11+ROW(A407)-1) * $F$8,0)</f>
        <v>-6</v>
      </c>
    </row>
    <row r="409" spans="1:10">
      <c r="A409" t="str">
        <f>INDEX(ログ!A:A,$F$11+ROW(A408)-1)</f>
        <v xml:space="preserve">  0 :  0  0  2</v>
      </c>
      <c r="B409" s="6">
        <f>INDEX(ログ!N:N,$F$11+ROW(A408)-1)*$G$5</f>
        <v>0.69115038378975446</v>
      </c>
      <c r="C409" s="6">
        <f t="shared" si="21"/>
        <v>0.69115038378975446</v>
      </c>
      <c r="D409" s="6">
        <f>SUBSTITUTE(INDEX(ログ!P:P,$F$11+ROW(A408)-1),":","")*$G$5</f>
        <v>0.69115038378975446</v>
      </c>
      <c r="E409" s="4"/>
      <c r="F409" s="2"/>
      <c r="G409" s="2"/>
      <c r="H409" s="5" t="e">
        <f t="shared" si="19"/>
        <v>#VALUE!</v>
      </c>
      <c r="I409" s="5" t="e">
        <f t="shared" si="20"/>
        <v>#VALUE!</v>
      </c>
      <c r="J409" s="5">
        <f>ROUNDDOWN(INDEX(ログ!S:S,$F$11+ROW(A408)-1) * $F$8,0)</f>
        <v>-6</v>
      </c>
    </row>
    <row r="410" spans="1:10">
      <c r="A410" t="str">
        <f>INDEX(ログ!A:A,$F$11+ROW(A409)-1)</f>
        <v xml:space="preserve">  0 :  0  0  2</v>
      </c>
      <c r="B410" s="6">
        <f>INDEX(ログ!N:N,$F$11+ROW(A409)-1)*$G$5</f>
        <v>1.0367255756846316</v>
      </c>
      <c r="C410" s="6">
        <f t="shared" si="21"/>
        <v>1.2095131716320702</v>
      </c>
      <c r="D410" s="6">
        <f>SUBSTITUTE(INDEX(ログ!P:P,$F$11+ROW(A409)-1),":","")*$G$5</f>
        <v>1.3823007675795089</v>
      </c>
      <c r="E410" s="4"/>
      <c r="F410" s="2"/>
      <c r="G410" s="2"/>
      <c r="H410" s="5" t="e">
        <f t="shared" si="19"/>
        <v>#VALUE!</v>
      </c>
      <c r="I410" s="5" t="e">
        <f t="shared" si="20"/>
        <v>#VALUE!</v>
      </c>
      <c r="J410" s="5">
        <f>ROUNDDOWN(INDEX(ログ!S:S,$F$11+ROW(A409)-1) * $F$8,0)</f>
        <v>-4</v>
      </c>
    </row>
    <row r="411" spans="1:10">
      <c r="A411" t="str">
        <f>INDEX(ログ!A:A,$F$11+ROW(A410)-1)</f>
        <v xml:space="preserve">  0 :  0  0  2</v>
      </c>
      <c r="B411" s="6">
        <f>INDEX(ログ!N:N,$F$11+ROW(A410)-1)*$G$5</f>
        <v>1.3823007675795089</v>
      </c>
      <c r="C411" s="6">
        <f t="shared" si="21"/>
        <v>1.2095131716320702</v>
      </c>
      <c r="D411" s="6">
        <f>SUBSTITUTE(INDEX(ログ!P:P,$F$11+ROW(A410)-1),":","")*$G$5</f>
        <v>1.0367255756846316</v>
      </c>
      <c r="E411" s="4"/>
      <c r="F411" s="2"/>
      <c r="G411" s="2"/>
      <c r="H411" s="5" t="e">
        <f t="shared" si="19"/>
        <v>#VALUE!</v>
      </c>
      <c r="I411" s="5" t="e">
        <f t="shared" si="20"/>
        <v>#VALUE!</v>
      </c>
      <c r="J411" s="5">
        <f>ROUNDDOWN(INDEX(ログ!S:S,$F$11+ROW(A410)-1) * $F$8,0)</f>
        <v>-6</v>
      </c>
    </row>
    <row r="412" spans="1:10">
      <c r="A412" t="str">
        <f>INDEX(ログ!A:A,$F$11+ROW(A411)-1)</f>
        <v xml:space="preserve">  0 :  0  0  2</v>
      </c>
      <c r="B412" s="6">
        <f>INDEX(ログ!N:N,$F$11+ROW(A411)-1)*$G$5</f>
        <v>1.3823007675795089</v>
      </c>
      <c r="C412" s="6">
        <f t="shared" si="21"/>
        <v>1.3823007675795089</v>
      </c>
      <c r="D412" s="6">
        <f>SUBSTITUTE(INDEX(ログ!P:P,$F$11+ROW(A411)-1),":","")*$G$5</f>
        <v>1.3823007675795089</v>
      </c>
      <c r="E412" s="4"/>
      <c r="F412" s="2"/>
      <c r="G412" s="2"/>
      <c r="H412" s="5" t="e">
        <f t="shared" si="19"/>
        <v>#VALUE!</v>
      </c>
      <c r="I412" s="5" t="e">
        <f t="shared" si="20"/>
        <v>#VALUE!</v>
      </c>
      <c r="J412" s="5">
        <f>ROUNDDOWN(INDEX(ログ!S:S,$F$11+ROW(A411)-1) * $F$8,0)</f>
        <v>-6</v>
      </c>
    </row>
    <row r="413" spans="1:10">
      <c r="A413" t="str">
        <f>INDEX(ログ!A:A,$F$11+ROW(A412)-1)</f>
        <v xml:space="preserve">  0 :  0  0  2</v>
      </c>
      <c r="B413" s="6">
        <f>INDEX(ログ!N:N,$F$11+ROW(A412)-1)*$G$5</f>
        <v>1.7278759594743862</v>
      </c>
      <c r="C413" s="6">
        <f t="shared" si="21"/>
        <v>1.5550883635269477</v>
      </c>
      <c r="D413" s="6">
        <f>SUBSTITUTE(INDEX(ログ!P:P,$F$11+ROW(A412)-1),":","")*$G$5</f>
        <v>1.3823007675795089</v>
      </c>
      <c r="E413" s="4"/>
      <c r="F413" s="2"/>
      <c r="G413" s="2"/>
      <c r="H413" s="5" t="e">
        <f t="shared" si="19"/>
        <v>#VALUE!</v>
      </c>
      <c r="I413" s="5" t="e">
        <f t="shared" si="20"/>
        <v>#VALUE!</v>
      </c>
      <c r="J413" s="5">
        <f>ROUNDDOWN(INDEX(ログ!S:S,$F$11+ROW(A412)-1) * $F$8,0)</f>
        <v>-6</v>
      </c>
    </row>
    <row r="414" spans="1:10">
      <c r="A414" t="str">
        <f>INDEX(ログ!A:A,$F$11+ROW(A413)-1)</f>
        <v xml:space="preserve">  0 :  0  0  2</v>
      </c>
      <c r="B414" s="6">
        <f>INDEX(ログ!N:N,$F$11+ROW(A413)-1)*$G$5</f>
        <v>1.7278759594743862</v>
      </c>
      <c r="C414" s="6">
        <f t="shared" si="21"/>
        <v>1.7278759594743862</v>
      </c>
      <c r="D414" s="6">
        <f>SUBSTITUTE(INDEX(ログ!P:P,$F$11+ROW(A413)-1),":","")*$G$5</f>
        <v>1.7278759594743862</v>
      </c>
      <c r="E414" s="4"/>
      <c r="F414" s="2"/>
      <c r="G414" s="2"/>
      <c r="H414" s="5" t="e">
        <f t="shared" si="19"/>
        <v>#VALUE!</v>
      </c>
      <c r="I414" s="5" t="e">
        <f t="shared" si="20"/>
        <v>#VALUE!</v>
      </c>
      <c r="J414" s="5">
        <f>ROUNDDOWN(INDEX(ログ!S:S,$F$11+ROW(A413)-1) * $F$8,0)</f>
        <v>-6</v>
      </c>
    </row>
    <row r="415" spans="1:10">
      <c r="A415" t="str">
        <f>INDEX(ログ!A:A,$F$11+ROW(A414)-1)</f>
        <v xml:space="preserve">  0 :  0  0  2</v>
      </c>
      <c r="B415" s="6">
        <f>INDEX(ログ!N:N,$F$11+ROW(A414)-1)*$G$5</f>
        <v>1.7278759594743862</v>
      </c>
      <c r="C415" s="6">
        <f t="shared" si="21"/>
        <v>1.5550883635269477</v>
      </c>
      <c r="D415" s="6">
        <f>SUBSTITUTE(INDEX(ログ!P:P,$F$11+ROW(A414)-1),":","")*$G$5</f>
        <v>1.3823007675795089</v>
      </c>
      <c r="E415" s="4"/>
      <c r="F415" s="2"/>
      <c r="G415" s="2"/>
      <c r="H415" s="5" t="e">
        <f t="shared" si="19"/>
        <v>#VALUE!</v>
      </c>
      <c r="I415" s="5" t="e">
        <f t="shared" si="20"/>
        <v>#VALUE!</v>
      </c>
      <c r="J415" s="5">
        <f>ROUNDDOWN(INDEX(ログ!S:S,$F$11+ROW(A414)-1) * $F$8,0)</f>
        <v>-6</v>
      </c>
    </row>
    <row r="416" spans="1:10">
      <c r="A416" t="str">
        <f>INDEX(ログ!A:A,$F$11+ROW(A415)-1)</f>
        <v xml:space="preserve">  0 :  0  0  2</v>
      </c>
      <c r="B416" s="6">
        <f>INDEX(ログ!N:N,$F$11+ROW(A415)-1)*$G$5</f>
        <v>1.0367255756846316</v>
      </c>
      <c r="C416" s="6">
        <f t="shared" si="21"/>
        <v>1.2095131716320702</v>
      </c>
      <c r="D416" s="6">
        <f>SUBSTITUTE(INDEX(ログ!P:P,$F$11+ROW(A415)-1),":","")*$G$5</f>
        <v>1.3823007675795089</v>
      </c>
      <c r="E416" s="4"/>
      <c r="F416" s="2"/>
      <c r="G416" s="2"/>
      <c r="H416" s="5" t="e">
        <f t="shared" si="19"/>
        <v>#VALUE!</v>
      </c>
      <c r="I416" s="5" t="e">
        <f t="shared" si="20"/>
        <v>#VALUE!</v>
      </c>
      <c r="J416" s="5">
        <f>ROUNDDOWN(INDEX(ログ!S:S,$F$11+ROW(A415)-1) * $F$8,0)</f>
        <v>-6</v>
      </c>
    </row>
    <row r="417" spans="1:10">
      <c r="A417" t="str">
        <f>INDEX(ログ!A:A,$F$11+ROW(A416)-1)</f>
        <v xml:space="preserve">  0 :  0  0  2</v>
      </c>
      <c r="B417" s="6">
        <f>INDEX(ログ!N:N,$F$11+ROW(A416)-1)*$G$5</f>
        <v>-0.34557519189487723</v>
      </c>
      <c r="C417" s="6">
        <f t="shared" si="21"/>
        <v>0.69115038378975446</v>
      </c>
      <c r="D417" s="6">
        <f>SUBSTITUTE(INDEX(ログ!P:P,$F$11+ROW(A416)-1),":","")*$G$5</f>
        <v>1.7278759594743862</v>
      </c>
      <c r="E417" s="4"/>
      <c r="F417" s="2"/>
      <c r="G417" s="2"/>
      <c r="H417" s="5" t="e">
        <f t="shared" si="19"/>
        <v>#VALUE!</v>
      </c>
      <c r="I417" s="5" t="e">
        <f t="shared" si="20"/>
        <v>#VALUE!</v>
      </c>
      <c r="J417" s="5">
        <f>ROUNDDOWN(INDEX(ログ!S:S,$F$11+ROW(A416)-1) * $F$8,0)</f>
        <v>-4</v>
      </c>
    </row>
    <row r="418" spans="1:10">
      <c r="A418" t="str">
        <f>INDEX(ログ!A:A,$F$11+ROW(A417)-1)</f>
        <v xml:space="preserve">  0 :  0  0  2</v>
      </c>
      <c r="B418" s="6">
        <f>INDEX(ログ!N:N,$F$11+ROW(A417)-1)*$G$5</f>
        <v>-2.0734511513692633</v>
      </c>
      <c r="C418" s="6">
        <f t="shared" si="21"/>
        <v>-0.34557519189487718</v>
      </c>
      <c r="D418" s="6">
        <f>SUBSTITUTE(INDEX(ログ!P:P,$F$11+ROW(A417)-1),":","")*$G$5</f>
        <v>1.3823007675795089</v>
      </c>
      <c r="E418" s="4"/>
      <c r="F418" s="2"/>
      <c r="G418" s="2"/>
      <c r="H418" s="5" t="e">
        <f t="shared" si="19"/>
        <v>#VALUE!</v>
      </c>
      <c r="I418" s="5" t="e">
        <f t="shared" si="20"/>
        <v>#VALUE!</v>
      </c>
      <c r="J418" s="5">
        <f>ROUNDDOWN(INDEX(ログ!S:S,$F$11+ROW(A417)-1) * $F$8,0)</f>
        <v>-2</v>
      </c>
    </row>
    <row r="419" spans="1:10">
      <c r="A419" t="str">
        <f>INDEX(ログ!A:A,$F$11+ROW(A418)-1)</f>
        <v xml:space="preserve">  0 :  0  0  2</v>
      </c>
      <c r="B419" s="6">
        <f>INDEX(ログ!N:N,$F$11+ROW(A418)-1)*$G$5</f>
        <v>-2.7646015351590179</v>
      </c>
      <c r="C419" s="6">
        <f t="shared" si="21"/>
        <v>-0.69115038378975446</v>
      </c>
      <c r="D419" s="6">
        <f>SUBSTITUTE(INDEX(ログ!P:P,$F$11+ROW(A418)-1),":","")*$G$5</f>
        <v>1.3823007675795089</v>
      </c>
      <c r="E419" s="4"/>
      <c r="F419" s="2"/>
      <c r="G419" s="2"/>
      <c r="H419" s="5" t="e">
        <f t="shared" si="19"/>
        <v>#VALUE!</v>
      </c>
      <c r="I419" s="5" t="e">
        <f t="shared" si="20"/>
        <v>#VALUE!</v>
      </c>
      <c r="J419" s="5">
        <f>ROUNDDOWN(INDEX(ログ!S:S,$F$11+ROW(A418)-1) * $F$8,0)</f>
        <v>0</v>
      </c>
    </row>
    <row r="420" spans="1:10">
      <c r="A420" t="str">
        <f>INDEX(ログ!A:A,$F$11+ROW(A419)-1)</f>
        <v xml:space="preserve">  0 :  0  0  2</v>
      </c>
      <c r="B420" s="6">
        <f>INDEX(ログ!N:N,$F$11+ROW(A419)-1)*$G$5</f>
        <v>-3.1101767270538949</v>
      </c>
      <c r="C420" s="6">
        <f t="shared" si="21"/>
        <v>-0.51836278784231582</v>
      </c>
      <c r="D420" s="6">
        <f>SUBSTITUTE(INDEX(ログ!P:P,$F$11+ROW(A419)-1),":","")*$G$5</f>
        <v>2.0734511513692633</v>
      </c>
      <c r="E420" s="4"/>
      <c r="F420" s="2"/>
      <c r="G420" s="2"/>
      <c r="H420" s="5" t="e">
        <f t="shared" si="19"/>
        <v>#VALUE!</v>
      </c>
      <c r="I420" s="5" t="e">
        <f t="shared" si="20"/>
        <v>#VALUE!</v>
      </c>
      <c r="J420" s="5">
        <f>ROUNDDOWN(INDEX(ログ!S:S,$F$11+ROW(A419)-1) * $F$8,0)</f>
        <v>4</v>
      </c>
    </row>
    <row r="421" spans="1:10">
      <c r="A421" t="str">
        <f>INDEX(ログ!A:A,$F$11+ROW(A420)-1)</f>
        <v xml:space="preserve">  0 :  0  0  2</v>
      </c>
      <c r="B421" s="6">
        <f>INDEX(ログ!N:N,$F$11+ROW(A420)-1)*$G$5</f>
        <v>-2.7646015351590179</v>
      </c>
      <c r="C421" s="6">
        <f t="shared" si="21"/>
        <v>-0.17278759594743853</v>
      </c>
      <c r="D421" s="6">
        <f>SUBSTITUTE(INDEX(ログ!P:P,$F$11+ROW(A420)-1),":","")*$G$5</f>
        <v>2.4190263432641408</v>
      </c>
      <c r="E421" s="4"/>
      <c r="F421" s="2"/>
      <c r="G421" s="2"/>
      <c r="H421" s="5" t="e">
        <f t="shared" si="19"/>
        <v>#VALUE!</v>
      </c>
      <c r="I421" s="5" t="e">
        <f t="shared" si="20"/>
        <v>#VALUE!</v>
      </c>
      <c r="J421" s="5">
        <f>ROUNDDOWN(INDEX(ログ!S:S,$F$11+ROW(A420)-1) * $F$8,0)</f>
        <v>10</v>
      </c>
    </row>
    <row r="422" spans="1:10">
      <c r="A422" t="str">
        <f>INDEX(ログ!A:A,$F$11+ROW(A421)-1)</f>
        <v xml:space="preserve">  0 :  0  0  2</v>
      </c>
      <c r="B422" s="6">
        <f>INDEX(ログ!N:N,$F$11+ROW(A421)-1)*$G$5</f>
        <v>-2.7646015351590179</v>
      </c>
      <c r="C422" s="6">
        <f t="shared" si="21"/>
        <v>0</v>
      </c>
      <c r="D422" s="6">
        <f>SUBSTITUTE(INDEX(ログ!P:P,$F$11+ROW(A421)-1),":","")*$G$5</f>
        <v>2.7646015351590179</v>
      </c>
      <c r="E422" s="4"/>
      <c r="F422" s="2"/>
      <c r="G422" s="2"/>
      <c r="H422" s="5" t="e">
        <f t="shared" si="19"/>
        <v>#VALUE!</v>
      </c>
      <c r="I422" s="5" t="e">
        <f t="shared" si="20"/>
        <v>#VALUE!</v>
      </c>
      <c r="J422" s="5">
        <f>ROUNDDOWN(INDEX(ログ!S:S,$F$11+ROW(A421)-1) * $F$8,0)</f>
        <v>14</v>
      </c>
    </row>
    <row r="423" spans="1:10">
      <c r="A423" t="str">
        <f>INDEX(ログ!A:A,$F$11+ROW(A422)-1)</f>
        <v xml:space="preserve">  0 :  0  0  2</v>
      </c>
      <c r="B423" s="6">
        <f>INDEX(ログ!N:N,$F$11+ROW(A422)-1)*$G$5</f>
        <v>-3.1101767270538949</v>
      </c>
      <c r="C423" s="6">
        <f t="shared" si="21"/>
        <v>-0.17278759594743853</v>
      </c>
      <c r="D423" s="6">
        <f>SUBSTITUTE(INDEX(ログ!P:P,$F$11+ROW(A422)-1),":","")*$G$5</f>
        <v>2.7646015351590179</v>
      </c>
      <c r="E423" s="4"/>
      <c r="F423" s="2"/>
      <c r="G423" s="2"/>
      <c r="H423" s="5" t="e">
        <f t="shared" si="19"/>
        <v>#VALUE!</v>
      </c>
      <c r="I423" s="5" t="e">
        <f t="shared" si="20"/>
        <v>#VALUE!</v>
      </c>
      <c r="J423" s="5">
        <f>ROUNDDOWN(INDEX(ログ!S:S,$F$11+ROW(A422)-1) * $F$8,0)</f>
        <v>20</v>
      </c>
    </row>
    <row r="424" spans="1:10">
      <c r="A424" t="str">
        <f>INDEX(ログ!A:A,$F$11+ROW(A423)-1)</f>
        <v xml:space="preserve">  0 :  0  0  2</v>
      </c>
      <c r="B424" s="6">
        <f>INDEX(ログ!N:N,$F$11+ROW(A423)-1)*$G$5</f>
        <v>-3.1101767270538949</v>
      </c>
      <c r="C424" s="6">
        <f t="shared" si="21"/>
        <v>0.17278759594743875</v>
      </c>
      <c r="D424" s="6">
        <f>SUBSTITUTE(INDEX(ログ!P:P,$F$11+ROW(A423)-1),":","")*$G$5</f>
        <v>3.4557519189487724</v>
      </c>
      <c r="E424" s="4"/>
      <c r="F424" s="2"/>
      <c r="G424" s="2"/>
      <c r="H424" s="5" t="e">
        <f t="shared" si="19"/>
        <v>#VALUE!</v>
      </c>
      <c r="I424" s="5" t="e">
        <f t="shared" si="20"/>
        <v>#VALUE!</v>
      </c>
      <c r="J424" s="5">
        <f>ROUNDDOWN(INDEX(ログ!S:S,$F$11+ROW(A423)-1) * $F$8,0)</f>
        <v>26</v>
      </c>
    </row>
    <row r="425" spans="1:10">
      <c r="A425" t="str">
        <f>INDEX(ログ!A:A,$F$11+ROW(A424)-1)</f>
        <v xml:space="preserve">  0 :  0  0  2</v>
      </c>
      <c r="B425" s="6">
        <f>INDEX(ログ!N:N,$F$11+ROW(A424)-1)*$G$5</f>
        <v>-3.1101767270538949</v>
      </c>
      <c r="C425" s="6">
        <f t="shared" si="21"/>
        <v>0</v>
      </c>
      <c r="D425" s="6">
        <f>SUBSTITUTE(INDEX(ログ!P:P,$F$11+ROW(A424)-1),":","")*$G$5</f>
        <v>3.1101767270538949</v>
      </c>
      <c r="E425" s="4"/>
      <c r="F425" s="2"/>
      <c r="G425" s="2"/>
      <c r="H425" s="5" t="e">
        <f t="shared" si="19"/>
        <v>#VALUE!</v>
      </c>
      <c r="I425" s="5" t="e">
        <f t="shared" si="20"/>
        <v>#VALUE!</v>
      </c>
      <c r="J425" s="5">
        <f>ROUNDDOWN(INDEX(ログ!S:S,$F$11+ROW(A424)-1) * $F$8,0)</f>
        <v>32</v>
      </c>
    </row>
    <row r="426" spans="1:10">
      <c r="A426" t="str">
        <f>INDEX(ログ!A:A,$F$11+ROW(A425)-1)</f>
        <v xml:space="preserve">  0 :  0  0  2</v>
      </c>
      <c r="B426" s="6">
        <f>INDEX(ログ!N:N,$F$11+ROW(A425)-1)*$G$5</f>
        <v>-3.1101767270538949</v>
      </c>
      <c r="C426" s="6">
        <f t="shared" si="21"/>
        <v>0.17278759594743875</v>
      </c>
      <c r="D426" s="6">
        <f>SUBSTITUTE(INDEX(ログ!P:P,$F$11+ROW(A425)-1),":","")*$G$5</f>
        <v>3.4557519189487724</v>
      </c>
      <c r="E426" s="4"/>
      <c r="F426" s="2"/>
      <c r="G426" s="2"/>
      <c r="H426" s="5" t="e">
        <f t="shared" si="19"/>
        <v>#VALUE!</v>
      </c>
      <c r="I426" s="5" t="e">
        <f t="shared" si="20"/>
        <v>#VALUE!</v>
      </c>
      <c r="J426" s="5">
        <f>ROUNDDOWN(INDEX(ログ!S:S,$F$11+ROW(A425)-1) * $F$8,0)</f>
        <v>38</v>
      </c>
    </row>
    <row r="427" spans="1:10">
      <c r="A427" t="str">
        <f>INDEX(ログ!A:A,$F$11+ROW(A426)-1)</f>
        <v xml:space="preserve">  0 :  0  0  2</v>
      </c>
      <c r="B427" s="6">
        <f>INDEX(ログ!N:N,$F$11+ROW(A426)-1)*$G$5</f>
        <v>-3.4557519189487724</v>
      </c>
      <c r="C427" s="6">
        <f t="shared" si="21"/>
        <v>-0.17278759594743875</v>
      </c>
      <c r="D427" s="6">
        <f>SUBSTITUTE(INDEX(ログ!P:P,$F$11+ROW(A426)-1),":","")*$G$5</f>
        <v>3.1101767270538949</v>
      </c>
      <c r="E427" s="4"/>
      <c r="F427" s="2"/>
      <c r="G427" s="2"/>
      <c r="H427" s="5" t="e">
        <f t="shared" si="19"/>
        <v>#VALUE!</v>
      </c>
      <c r="I427" s="5" t="e">
        <f t="shared" si="20"/>
        <v>#VALUE!</v>
      </c>
      <c r="J427" s="5">
        <f>ROUNDDOWN(INDEX(ログ!S:S,$F$11+ROW(A426)-1) * $F$8,0)</f>
        <v>44</v>
      </c>
    </row>
    <row r="428" spans="1:10">
      <c r="A428" t="str">
        <f>INDEX(ログ!A:A,$F$11+ROW(A427)-1)</f>
        <v xml:space="preserve">  0 :  0  0  2</v>
      </c>
      <c r="B428" s="6">
        <f>INDEX(ログ!N:N,$F$11+ROW(A427)-1)*$G$5</f>
        <v>-3.4557519189487724</v>
      </c>
      <c r="C428" s="6">
        <f t="shared" si="21"/>
        <v>-0.34557519189487729</v>
      </c>
      <c r="D428" s="6">
        <f>SUBSTITUTE(INDEX(ログ!P:P,$F$11+ROW(A427)-1),":","")*$G$5</f>
        <v>2.7646015351590179</v>
      </c>
      <c r="E428" s="4"/>
      <c r="F428" s="2"/>
      <c r="G428" s="2"/>
      <c r="H428" s="5" t="e">
        <f t="shared" si="19"/>
        <v>#VALUE!</v>
      </c>
      <c r="I428" s="5" t="e">
        <f t="shared" si="20"/>
        <v>#VALUE!</v>
      </c>
      <c r="J428" s="5">
        <f>ROUNDDOWN(INDEX(ログ!S:S,$F$11+ROW(A427)-1) * $F$8,0)</f>
        <v>50</v>
      </c>
    </row>
    <row r="429" spans="1:10">
      <c r="A429" t="str">
        <f>INDEX(ログ!A:A,$F$11+ROW(A428)-1)</f>
        <v xml:space="preserve">  0 :  0  0  2</v>
      </c>
      <c r="B429" s="6">
        <f>INDEX(ログ!N:N,$F$11+ROW(A428)-1)*$G$5</f>
        <v>-3.4557519189487724</v>
      </c>
      <c r="C429" s="6">
        <f t="shared" si="21"/>
        <v>-0.17278759594743875</v>
      </c>
      <c r="D429" s="6">
        <f>SUBSTITUTE(INDEX(ログ!P:P,$F$11+ROW(A428)-1),":","")*$G$5</f>
        <v>3.1101767270538949</v>
      </c>
      <c r="E429" s="4"/>
      <c r="F429" s="2"/>
      <c r="G429" s="2"/>
      <c r="H429" s="5" t="e">
        <f t="shared" si="19"/>
        <v>#VALUE!</v>
      </c>
      <c r="I429" s="5" t="e">
        <f t="shared" si="20"/>
        <v>#VALUE!</v>
      </c>
      <c r="J429" s="5">
        <f>ROUNDDOWN(INDEX(ログ!S:S,$F$11+ROW(A428)-1) * $F$8,0)</f>
        <v>56</v>
      </c>
    </row>
    <row r="430" spans="1:10">
      <c r="A430" t="str">
        <f>INDEX(ログ!A:A,$F$11+ROW(A429)-1)</f>
        <v xml:space="preserve">  0 :  0  0  2</v>
      </c>
      <c r="B430" s="6">
        <f>INDEX(ログ!N:N,$F$11+ROW(A429)-1)*$G$5</f>
        <v>-3.8013271108436495</v>
      </c>
      <c r="C430" s="6">
        <f t="shared" si="21"/>
        <v>-0.34557519189487729</v>
      </c>
      <c r="D430" s="6">
        <f>SUBSTITUTE(INDEX(ログ!P:P,$F$11+ROW(A429)-1),":","")*$G$5</f>
        <v>3.1101767270538949</v>
      </c>
      <c r="E430" s="4"/>
      <c r="F430" s="2"/>
      <c r="G430" s="2"/>
      <c r="H430" s="5" t="e">
        <f t="shared" si="19"/>
        <v>#VALUE!</v>
      </c>
      <c r="I430" s="5" t="e">
        <f t="shared" si="20"/>
        <v>#VALUE!</v>
      </c>
      <c r="J430" s="5">
        <f>ROUNDDOWN(INDEX(ログ!S:S,$F$11+ROW(A429)-1) * $F$8,0)</f>
        <v>62</v>
      </c>
    </row>
    <row r="431" spans="1:10">
      <c r="A431" t="str">
        <f>INDEX(ログ!A:A,$F$11+ROW(A430)-1)</f>
        <v xml:space="preserve">  0 :  0  0  2</v>
      </c>
      <c r="B431" s="6">
        <f>INDEX(ログ!N:N,$F$11+ROW(A430)-1)*$G$5</f>
        <v>-3.4557519189487724</v>
      </c>
      <c r="C431" s="6">
        <f t="shared" si="21"/>
        <v>-0.17278759594743875</v>
      </c>
      <c r="D431" s="6">
        <f>SUBSTITUTE(INDEX(ログ!P:P,$F$11+ROW(A430)-1),":","")*$G$5</f>
        <v>3.1101767270538949</v>
      </c>
      <c r="E431" s="4"/>
      <c r="F431" s="2"/>
      <c r="G431" s="2"/>
      <c r="H431" s="5" t="e">
        <f t="shared" si="19"/>
        <v>#VALUE!</v>
      </c>
      <c r="I431" s="5" t="e">
        <f t="shared" si="20"/>
        <v>#VALUE!</v>
      </c>
      <c r="J431" s="5">
        <f>ROUNDDOWN(INDEX(ログ!S:S,$F$11+ROW(A430)-1) * $F$8,0)</f>
        <v>70</v>
      </c>
    </row>
    <row r="432" spans="1:10">
      <c r="A432" t="str">
        <f>INDEX(ログ!A:A,$F$11+ROW(A431)-1)</f>
        <v xml:space="preserve">  0 :  0  0  2</v>
      </c>
      <c r="B432" s="6">
        <f>INDEX(ログ!N:N,$F$11+ROW(A431)-1)*$G$5</f>
        <v>-2.7646015351590179</v>
      </c>
      <c r="C432" s="6">
        <f t="shared" si="21"/>
        <v>0.17278759594743853</v>
      </c>
      <c r="D432" s="6">
        <f>SUBSTITUTE(INDEX(ログ!P:P,$F$11+ROW(A431)-1),":","")*$G$5</f>
        <v>3.1101767270538949</v>
      </c>
      <c r="E432" s="4"/>
      <c r="F432" s="2"/>
      <c r="G432" s="2"/>
      <c r="H432" s="5" t="e">
        <f t="shared" si="19"/>
        <v>#VALUE!</v>
      </c>
      <c r="I432" s="5" t="e">
        <f t="shared" si="20"/>
        <v>#VALUE!</v>
      </c>
      <c r="J432" s="5">
        <f>ROUNDDOWN(INDEX(ログ!S:S,$F$11+ROW(A431)-1) * $F$8,0)</f>
        <v>76</v>
      </c>
    </row>
    <row r="433" spans="1:10">
      <c r="A433" t="str">
        <f>INDEX(ログ!A:A,$F$11+ROW(A432)-1)</f>
        <v xml:space="preserve">  0 :  0  0  2</v>
      </c>
      <c r="B433" s="6">
        <f>INDEX(ログ!N:N,$F$11+ROW(A432)-1)*$G$5</f>
        <v>-2.0734511513692633</v>
      </c>
      <c r="C433" s="6">
        <f t="shared" si="21"/>
        <v>0</v>
      </c>
      <c r="D433" s="6">
        <f>SUBSTITUTE(INDEX(ログ!P:P,$F$11+ROW(A432)-1),":","")*$G$5</f>
        <v>2.0734511513692633</v>
      </c>
      <c r="E433" s="4"/>
      <c r="F433" s="2"/>
      <c r="G433" s="2"/>
      <c r="H433" s="5" t="e">
        <f t="shared" si="19"/>
        <v>#VALUE!</v>
      </c>
      <c r="I433" s="5" t="e">
        <f t="shared" si="20"/>
        <v>#VALUE!</v>
      </c>
      <c r="J433" s="5">
        <f>ROUNDDOWN(INDEX(ログ!S:S,$F$11+ROW(A432)-1) * $F$8,0)</f>
        <v>80</v>
      </c>
    </row>
    <row r="434" spans="1:10">
      <c r="A434" t="str">
        <f>INDEX(ログ!A:A,$F$11+ROW(A433)-1)</f>
        <v xml:space="preserve">  0 :  0  0  2</v>
      </c>
      <c r="B434" s="6">
        <f>INDEX(ログ!N:N,$F$11+ROW(A433)-1)*$G$5</f>
        <v>-1.0367255756846316</v>
      </c>
      <c r="C434" s="6">
        <f t="shared" si="21"/>
        <v>0.17278759594743864</v>
      </c>
      <c r="D434" s="6">
        <f>SUBSTITUTE(INDEX(ログ!P:P,$F$11+ROW(A433)-1),":","")*$G$5</f>
        <v>1.3823007675795089</v>
      </c>
      <c r="E434" s="4"/>
      <c r="F434" s="2"/>
      <c r="G434" s="2"/>
      <c r="H434" s="5" t="e">
        <f t="shared" si="19"/>
        <v>#VALUE!</v>
      </c>
      <c r="I434" s="5" t="e">
        <f t="shared" si="20"/>
        <v>#VALUE!</v>
      </c>
      <c r="J434" s="5">
        <f>ROUNDDOWN(INDEX(ログ!S:S,$F$11+ROW(A433)-1) * $F$8,0)</f>
        <v>84</v>
      </c>
    </row>
    <row r="435" spans="1:10">
      <c r="A435" t="str">
        <f>INDEX(ログ!A:A,$F$11+ROW(A434)-1)</f>
        <v xml:space="preserve">  0 :  0  0  2</v>
      </c>
      <c r="B435" s="6">
        <f>INDEX(ログ!N:N,$F$11+ROW(A434)-1)*$G$5</f>
        <v>0</v>
      </c>
      <c r="C435" s="6">
        <f t="shared" si="21"/>
        <v>0.34557519189487723</v>
      </c>
      <c r="D435" s="6">
        <f>SUBSTITUTE(INDEX(ログ!P:P,$F$11+ROW(A434)-1),":","")*$G$5</f>
        <v>0.69115038378975446</v>
      </c>
      <c r="E435" s="4"/>
      <c r="F435" s="2"/>
      <c r="G435" s="2"/>
      <c r="H435" s="5" t="e">
        <f t="shared" si="19"/>
        <v>#VALUE!</v>
      </c>
      <c r="I435" s="5" t="e">
        <f t="shared" si="20"/>
        <v>#VALUE!</v>
      </c>
      <c r="J435" s="5">
        <f>ROUNDDOWN(INDEX(ログ!S:S,$F$11+ROW(A434)-1) * $F$8,0)</f>
        <v>84</v>
      </c>
    </row>
    <row r="436" spans="1:10">
      <c r="A436" t="str">
        <f>INDEX(ログ!A:A,$F$11+ROW(A435)-1)</f>
        <v xml:space="preserve">  0 :  0  0  2</v>
      </c>
      <c r="B436" s="6">
        <f>INDEX(ログ!N:N,$F$11+ROW(A435)-1)*$G$5</f>
        <v>0.69115038378975446</v>
      </c>
      <c r="C436" s="6">
        <f t="shared" si="21"/>
        <v>0.69115038378975446</v>
      </c>
      <c r="D436" s="6">
        <f>SUBSTITUTE(INDEX(ログ!P:P,$F$11+ROW(A435)-1),":","")*$G$5</f>
        <v>0.69115038378975446</v>
      </c>
      <c r="E436" s="4"/>
      <c r="F436" s="2"/>
      <c r="G436" s="2"/>
      <c r="H436" s="5" t="e">
        <f t="shared" si="19"/>
        <v>#VALUE!</v>
      </c>
      <c r="I436" s="5" t="e">
        <f t="shared" si="20"/>
        <v>#VALUE!</v>
      </c>
      <c r="J436" s="5">
        <f>ROUNDDOWN(INDEX(ログ!S:S,$F$11+ROW(A435)-1) * $F$8,0)</f>
        <v>84</v>
      </c>
    </row>
    <row r="437" spans="1:10">
      <c r="A437" t="str">
        <f>INDEX(ログ!A:A,$F$11+ROW(A436)-1)</f>
        <v xml:space="preserve">  0 :  0  0  2</v>
      </c>
      <c r="B437" s="6">
        <f>INDEX(ログ!N:N,$F$11+ROW(A436)-1)*$G$5</f>
        <v>1.0367255756846316</v>
      </c>
      <c r="C437" s="6">
        <f t="shared" si="21"/>
        <v>0.51836278784231582</v>
      </c>
      <c r="D437" s="6">
        <f>SUBSTITUTE(INDEX(ログ!P:P,$F$11+ROW(A436)-1),":","")*$G$5</f>
        <v>0</v>
      </c>
      <c r="E437" s="4"/>
      <c r="F437" s="2"/>
      <c r="G437" s="2"/>
      <c r="H437" s="5" t="e">
        <f t="shared" si="19"/>
        <v>#VALUE!</v>
      </c>
      <c r="I437" s="5" t="e">
        <f t="shared" si="20"/>
        <v>#VALUE!</v>
      </c>
      <c r="J437" s="5">
        <f>ROUNDDOWN(INDEX(ログ!S:S,$F$11+ROW(A436)-1) * $F$8,0)</f>
        <v>84</v>
      </c>
    </row>
    <row r="438" spans="1:10">
      <c r="A438" t="str">
        <f>INDEX(ログ!A:A,$F$11+ROW(A437)-1)</f>
        <v xml:space="preserve">  0 :  0  0  2</v>
      </c>
      <c r="B438" s="6">
        <f>INDEX(ログ!N:N,$F$11+ROW(A437)-1)*$G$5</f>
        <v>1.3823007675795089</v>
      </c>
      <c r="C438" s="6">
        <f t="shared" si="21"/>
        <v>0.86393797973719311</v>
      </c>
      <c r="D438" s="6">
        <f>SUBSTITUTE(INDEX(ログ!P:P,$F$11+ROW(A437)-1),":","")*$G$5</f>
        <v>0.34557519189487723</v>
      </c>
      <c r="E438" s="4"/>
      <c r="F438" s="2"/>
      <c r="G438" s="2"/>
      <c r="H438" s="5" t="e">
        <f t="shared" si="19"/>
        <v>#VALUE!</v>
      </c>
      <c r="I438" s="5" t="e">
        <f t="shared" si="20"/>
        <v>#VALUE!</v>
      </c>
      <c r="J438" s="5">
        <f>ROUNDDOWN(INDEX(ログ!S:S,$F$11+ROW(A437)-1) * $F$8,0)</f>
        <v>82</v>
      </c>
    </row>
    <row r="439" spans="1:10">
      <c r="A439" t="str">
        <f>INDEX(ログ!A:A,$F$11+ROW(A438)-1)</f>
        <v xml:space="preserve">  0 :  0  0  2</v>
      </c>
      <c r="B439" s="6">
        <f>INDEX(ログ!N:N,$F$11+ROW(A438)-1)*$G$5</f>
        <v>1.3823007675795089</v>
      </c>
      <c r="C439" s="6">
        <f t="shared" si="21"/>
        <v>0.69115038378975446</v>
      </c>
      <c r="D439" s="6">
        <f>SUBSTITUTE(INDEX(ログ!P:P,$F$11+ROW(A438)-1),":","")*$G$5</f>
        <v>0</v>
      </c>
      <c r="E439" s="4"/>
      <c r="F439" s="2"/>
      <c r="G439" s="2"/>
      <c r="H439" s="5" t="e">
        <f t="shared" si="19"/>
        <v>#VALUE!</v>
      </c>
      <c r="I439" s="5" t="e">
        <f t="shared" si="20"/>
        <v>#VALUE!</v>
      </c>
      <c r="J439" s="5">
        <f>ROUNDDOWN(INDEX(ログ!S:S,$F$11+ROW(A438)-1) * $F$8,0)</f>
        <v>82</v>
      </c>
    </row>
    <row r="440" spans="1:10">
      <c r="A440" t="str">
        <f>INDEX(ログ!A:A,$F$11+ROW(A439)-1)</f>
        <v xml:space="preserve">  0 :  0  0  2</v>
      </c>
      <c r="B440" s="6">
        <f>INDEX(ログ!N:N,$F$11+ROW(A439)-1)*$G$5</f>
        <v>1.3823007675795089</v>
      </c>
      <c r="C440" s="6">
        <f t="shared" si="21"/>
        <v>0.69115038378975446</v>
      </c>
      <c r="D440" s="6">
        <f>SUBSTITUTE(INDEX(ログ!P:P,$F$11+ROW(A439)-1),":","")*$G$5</f>
        <v>0</v>
      </c>
      <c r="E440" s="4"/>
      <c r="F440" s="2"/>
      <c r="G440" s="2"/>
      <c r="H440" s="5" t="e">
        <f t="shared" si="19"/>
        <v>#VALUE!</v>
      </c>
      <c r="I440" s="5" t="e">
        <f t="shared" si="20"/>
        <v>#VALUE!</v>
      </c>
      <c r="J440" s="5">
        <f>ROUNDDOWN(INDEX(ログ!S:S,$F$11+ROW(A439)-1) * $F$8,0)</f>
        <v>80</v>
      </c>
    </row>
    <row r="441" spans="1:10">
      <c r="A441" t="str">
        <f>INDEX(ログ!A:A,$F$11+ROW(A440)-1)</f>
        <v xml:space="preserve">  0 :  0  0  1</v>
      </c>
      <c r="B441" s="6">
        <f>INDEX(ログ!N:N,$F$11+ROW(A440)-1)*$G$5</f>
        <v>1.0367255756846316</v>
      </c>
      <c r="C441" s="6">
        <f t="shared" si="21"/>
        <v>0.51836278784231582</v>
      </c>
      <c r="D441" s="6">
        <f>SUBSTITUTE(INDEX(ログ!P:P,$F$11+ROW(A440)-1),":","")*$G$5</f>
        <v>0</v>
      </c>
      <c r="E441" s="4"/>
      <c r="F441" s="2"/>
      <c r="G441" s="2"/>
      <c r="H441" s="5" t="e">
        <f t="shared" si="19"/>
        <v>#VALUE!</v>
      </c>
      <c r="I441" s="5" t="e">
        <f t="shared" si="20"/>
        <v>#VALUE!</v>
      </c>
      <c r="J441" s="5">
        <f>ROUNDDOWN(INDEX(ログ!S:S,$F$11+ROW(A440)-1) * $F$8,0)</f>
        <v>80</v>
      </c>
    </row>
    <row r="442" spans="1:10">
      <c r="A442" t="str">
        <f>INDEX(ログ!A:A,$F$11+ROW(A441)-1)</f>
        <v xml:space="preserve">  0 :  0  0  1</v>
      </c>
      <c r="B442" s="6">
        <f>INDEX(ログ!N:N,$F$11+ROW(A441)-1)*$G$5</f>
        <v>0</v>
      </c>
      <c r="C442" s="6">
        <f t="shared" si="21"/>
        <v>-0.34557519189487723</v>
      </c>
      <c r="D442" s="6">
        <f>SUBSTITUTE(INDEX(ログ!P:P,$F$11+ROW(A441)-1),":","")*$G$5</f>
        <v>-0.69115038378975446</v>
      </c>
      <c r="E442" s="4"/>
      <c r="F442" s="2"/>
      <c r="G442" s="2"/>
      <c r="H442" s="5" t="e">
        <f t="shared" si="19"/>
        <v>#VALUE!</v>
      </c>
      <c r="I442" s="5" t="e">
        <f t="shared" si="20"/>
        <v>#VALUE!</v>
      </c>
      <c r="J442" s="5">
        <f>ROUNDDOWN(INDEX(ログ!S:S,$F$11+ROW(A441)-1) * $F$8,0)</f>
        <v>78</v>
      </c>
    </row>
    <row r="443" spans="1:10">
      <c r="A443" t="str">
        <f>INDEX(ログ!A:A,$F$11+ROW(A442)-1)</f>
        <v xml:space="preserve">  0 :  0  0  1</v>
      </c>
      <c r="B443" s="6">
        <f>INDEX(ログ!N:N,$F$11+ROW(A442)-1)*$G$5</f>
        <v>-0.69115038378975446</v>
      </c>
      <c r="C443" s="6">
        <f t="shared" si="21"/>
        <v>-0.69115038378975446</v>
      </c>
      <c r="D443" s="6">
        <f>SUBSTITUTE(INDEX(ログ!P:P,$F$11+ROW(A442)-1),":","")*$G$5</f>
        <v>-0.69115038378975446</v>
      </c>
      <c r="E443" s="4"/>
      <c r="F443" s="2"/>
      <c r="G443" s="2"/>
      <c r="H443" s="5" t="e">
        <f t="shared" si="19"/>
        <v>#VALUE!</v>
      </c>
      <c r="I443" s="5" t="e">
        <f t="shared" si="20"/>
        <v>#VALUE!</v>
      </c>
      <c r="J443" s="5">
        <f>ROUNDDOWN(INDEX(ログ!S:S,$F$11+ROW(A442)-1) * $F$8,0)</f>
        <v>78</v>
      </c>
    </row>
    <row r="444" spans="1:10">
      <c r="A444" t="str">
        <f>INDEX(ログ!A:A,$F$11+ROW(A443)-1)</f>
        <v xml:space="preserve">  0 :  0  0  1</v>
      </c>
      <c r="B444" s="6">
        <f>INDEX(ログ!N:N,$F$11+ROW(A443)-1)*$G$5</f>
        <v>-1.0367255756846316</v>
      </c>
      <c r="C444" s="6">
        <f t="shared" si="21"/>
        <v>-0.86393797973719311</v>
      </c>
      <c r="D444" s="6">
        <f>SUBSTITUTE(INDEX(ログ!P:P,$F$11+ROW(A443)-1),":","")*$G$5</f>
        <v>-0.69115038378975446</v>
      </c>
      <c r="E444" s="4"/>
      <c r="F444" s="2"/>
      <c r="G444" s="2"/>
      <c r="H444" s="5" t="e">
        <f t="shared" si="19"/>
        <v>#VALUE!</v>
      </c>
      <c r="I444" s="5" t="e">
        <f t="shared" si="20"/>
        <v>#VALUE!</v>
      </c>
      <c r="J444" s="5">
        <f>ROUNDDOWN(INDEX(ログ!S:S,$F$11+ROW(A443)-1) * $F$8,0)</f>
        <v>78</v>
      </c>
    </row>
    <row r="445" spans="1:10">
      <c r="A445" t="str">
        <f>INDEX(ログ!A:A,$F$11+ROW(A444)-1)</f>
        <v xml:space="preserve">  0 :  0  0  1</v>
      </c>
      <c r="B445" s="6">
        <f>INDEX(ログ!N:N,$F$11+ROW(A444)-1)*$G$5</f>
        <v>-1.3823007675795089</v>
      </c>
      <c r="C445" s="6">
        <f t="shared" si="21"/>
        <v>-1.3823007675795089</v>
      </c>
      <c r="D445" s="6">
        <f>SUBSTITUTE(INDEX(ログ!P:P,$F$11+ROW(A444)-1),":","")*$G$5</f>
        <v>-1.3823007675795089</v>
      </c>
      <c r="E445" s="4"/>
      <c r="F445" s="2"/>
      <c r="G445" s="2"/>
      <c r="H445" s="5" t="e">
        <f t="shared" si="19"/>
        <v>#VALUE!</v>
      </c>
      <c r="I445" s="5" t="e">
        <f t="shared" si="20"/>
        <v>#VALUE!</v>
      </c>
      <c r="J445" s="5">
        <f>ROUNDDOWN(INDEX(ログ!S:S,$F$11+ROW(A444)-1) * $F$8,0)</f>
        <v>78</v>
      </c>
    </row>
    <row r="446" spans="1:10">
      <c r="A446" t="str">
        <f>INDEX(ログ!A:A,$F$11+ROW(A445)-1)</f>
        <v xml:space="preserve">  0 :  0  0  1</v>
      </c>
      <c r="B446" s="6">
        <f>INDEX(ログ!N:N,$F$11+ROW(A445)-1)*$G$5</f>
        <v>-1.3823007675795089</v>
      </c>
      <c r="C446" s="6">
        <f t="shared" si="21"/>
        <v>-1.2095131716320702</v>
      </c>
      <c r="D446" s="6">
        <f>SUBSTITUTE(INDEX(ログ!P:P,$F$11+ROW(A445)-1),":","")*$G$5</f>
        <v>-1.0367255756846316</v>
      </c>
      <c r="E446" s="4"/>
      <c r="F446" s="2"/>
      <c r="G446" s="2"/>
      <c r="H446" s="5" t="e">
        <f t="shared" si="19"/>
        <v>#VALUE!</v>
      </c>
      <c r="I446" s="5" t="e">
        <f t="shared" si="20"/>
        <v>#VALUE!</v>
      </c>
      <c r="J446" s="5">
        <f>ROUNDDOWN(INDEX(ログ!S:S,$F$11+ROW(A445)-1) * $F$8,0)</f>
        <v>78</v>
      </c>
    </row>
    <row r="447" spans="1:10">
      <c r="A447" t="str">
        <f>INDEX(ログ!A:A,$F$11+ROW(A446)-1)</f>
        <v xml:space="preserve">  0 :  0  0  1</v>
      </c>
      <c r="B447" s="6">
        <f>INDEX(ログ!N:N,$F$11+ROW(A446)-1)*$G$5</f>
        <v>-1.7278759594743862</v>
      </c>
      <c r="C447" s="6">
        <f t="shared" si="21"/>
        <v>-1.5550883635269477</v>
      </c>
      <c r="D447" s="6">
        <f>SUBSTITUTE(INDEX(ログ!P:P,$F$11+ROW(A446)-1),":","")*$G$5</f>
        <v>-1.3823007675795089</v>
      </c>
      <c r="E447" s="4"/>
      <c r="F447" s="2"/>
      <c r="G447" s="2"/>
      <c r="H447" s="5" t="e">
        <f t="shared" ref="H447:H510" si="22">H446+(C447*COS(RADIANS(J446)))</f>
        <v>#VALUE!</v>
      </c>
      <c r="I447" s="5" t="e">
        <f t="shared" ref="I447:I510" si="23">I446+(C447*SIN(RADIANS(J446)))</f>
        <v>#VALUE!</v>
      </c>
      <c r="J447" s="5">
        <f>ROUNDDOWN(INDEX(ログ!S:S,$F$11+ROW(A446)-1) * $F$8,0)</f>
        <v>80</v>
      </c>
    </row>
    <row r="448" spans="1:10">
      <c r="A448" t="str">
        <f>INDEX(ログ!A:A,$F$11+ROW(A447)-1)</f>
        <v xml:space="preserve">  0 :  0  0  1</v>
      </c>
      <c r="B448" s="6">
        <f>INDEX(ログ!N:N,$F$11+ROW(A447)-1)*$G$5</f>
        <v>-0.69115038378975446</v>
      </c>
      <c r="C448" s="6">
        <f t="shared" si="21"/>
        <v>-0.69115038378975446</v>
      </c>
      <c r="D448" s="6">
        <f>SUBSTITUTE(INDEX(ログ!P:P,$F$11+ROW(A447)-1),":","")*$G$5</f>
        <v>-0.69115038378975446</v>
      </c>
      <c r="E448" s="4"/>
      <c r="F448" s="2"/>
      <c r="G448" s="2"/>
      <c r="H448" s="5" t="e">
        <f t="shared" si="22"/>
        <v>#VALUE!</v>
      </c>
      <c r="I448" s="5" t="e">
        <f t="shared" si="23"/>
        <v>#VALUE!</v>
      </c>
      <c r="J448" s="5">
        <f>ROUNDDOWN(INDEX(ログ!S:S,$F$11+ROW(A447)-1) * $F$8,0)</f>
        <v>80</v>
      </c>
    </row>
    <row r="449" spans="1:10">
      <c r="A449" t="str">
        <f>INDEX(ログ!A:A,$F$11+ROW(A448)-1)</f>
        <v xml:space="preserve">  0 :  0  0  1</v>
      </c>
      <c r="B449" s="6">
        <f>INDEX(ログ!N:N,$F$11+ROW(A448)-1)*$G$5</f>
        <v>0</v>
      </c>
      <c r="C449" s="6">
        <f t="shared" si="21"/>
        <v>0</v>
      </c>
      <c r="D449" s="6">
        <f>SUBSTITUTE(INDEX(ログ!P:P,$F$11+ROW(A448)-1),":","")*$G$5</f>
        <v>0</v>
      </c>
      <c r="E449" s="4"/>
      <c r="F449" s="2"/>
      <c r="G449" s="2"/>
      <c r="H449" s="5" t="e">
        <f t="shared" si="22"/>
        <v>#VALUE!</v>
      </c>
      <c r="I449" s="5" t="e">
        <f t="shared" si="23"/>
        <v>#VALUE!</v>
      </c>
      <c r="J449" s="5">
        <f>ROUNDDOWN(INDEX(ログ!S:S,$F$11+ROW(A448)-1) * $F$8,0)</f>
        <v>80</v>
      </c>
    </row>
    <row r="450" spans="1:10">
      <c r="A450" t="str">
        <f>INDEX(ログ!A:A,$F$11+ROW(A449)-1)</f>
        <v xml:space="preserve">  0 :  0  0  1</v>
      </c>
      <c r="B450" s="6">
        <f>INDEX(ログ!N:N,$F$11+ROW(A449)-1)*$G$5</f>
        <v>0</v>
      </c>
      <c r="C450" s="6">
        <f t="shared" si="21"/>
        <v>0</v>
      </c>
      <c r="D450" s="6">
        <f>SUBSTITUTE(INDEX(ログ!P:P,$F$11+ROW(A449)-1),":","")*$G$5</f>
        <v>0</v>
      </c>
      <c r="E450" s="4"/>
      <c r="F450" s="2"/>
      <c r="G450" s="2"/>
      <c r="H450" s="5" t="e">
        <f t="shared" si="22"/>
        <v>#VALUE!</v>
      </c>
      <c r="I450" s="5" t="e">
        <f t="shared" si="23"/>
        <v>#VALUE!</v>
      </c>
      <c r="J450" s="5">
        <f>ROUNDDOWN(INDEX(ログ!S:S,$F$11+ROW(A449)-1) * $F$8,0)</f>
        <v>80</v>
      </c>
    </row>
    <row r="451" spans="1:10">
      <c r="A451" t="str">
        <f>INDEX(ログ!A:A,$F$11+ROW(A450)-1)</f>
        <v xml:space="preserve">  0 :  0  0  1</v>
      </c>
      <c r="B451" s="6">
        <f>INDEX(ログ!N:N,$F$11+ROW(A450)-1)*$G$5</f>
        <v>0.69115038378975446</v>
      </c>
      <c r="C451" s="6">
        <f t="shared" si="21"/>
        <v>0.69115038378975446</v>
      </c>
      <c r="D451" s="6">
        <f>SUBSTITUTE(INDEX(ログ!P:P,$F$11+ROW(A450)-1),":","")*$G$5</f>
        <v>0.69115038378975446</v>
      </c>
      <c r="E451" s="4"/>
      <c r="F451" s="2"/>
      <c r="G451" s="2"/>
      <c r="H451" s="5" t="e">
        <f t="shared" si="22"/>
        <v>#VALUE!</v>
      </c>
      <c r="I451" s="5" t="e">
        <f t="shared" si="23"/>
        <v>#VALUE!</v>
      </c>
      <c r="J451" s="5">
        <f>ROUNDDOWN(INDEX(ログ!S:S,$F$11+ROW(A450)-1) * $F$8,0)</f>
        <v>80</v>
      </c>
    </row>
    <row r="452" spans="1:10">
      <c r="A452" t="str">
        <f>INDEX(ログ!A:A,$F$11+ROW(A451)-1)</f>
        <v xml:space="preserve">  0 :  0  0  1</v>
      </c>
      <c r="B452" s="6">
        <f>INDEX(ログ!N:N,$F$11+ROW(A451)-1)*$G$5</f>
        <v>0.69115038378975446</v>
      </c>
      <c r="C452" s="6">
        <f t="shared" si="21"/>
        <v>0.69115038378975446</v>
      </c>
      <c r="D452" s="6">
        <f>SUBSTITUTE(INDEX(ログ!P:P,$F$11+ROW(A451)-1),":","")*$G$5</f>
        <v>0.69115038378975446</v>
      </c>
      <c r="E452" s="4"/>
      <c r="F452" s="2"/>
      <c r="G452" s="2"/>
      <c r="H452" s="5" t="e">
        <f t="shared" si="22"/>
        <v>#VALUE!</v>
      </c>
      <c r="I452" s="5" t="e">
        <f t="shared" si="23"/>
        <v>#VALUE!</v>
      </c>
      <c r="J452" s="5">
        <f>ROUNDDOWN(INDEX(ログ!S:S,$F$11+ROW(A451)-1) * $F$8,0)</f>
        <v>80</v>
      </c>
    </row>
    <row r="453" spans="1:10">
      <c r="A453" t="str">
        <f>INDEX(ログ!A:A,$F$11+ROW(A452)-1)</f>
        <v xml:space="preserve">  0 :  0  0  1</v>
      </c>
      <c r="B453" s="6">
        <f>INDEX(ログ!N:N,$F$11+ROW(A452)-1)*$G$5</f>
        <v>1.3823007675795089</v>
      </c>
      <c r="C453" s="6">
        <f t="shared" ref="C453:C516" si="24">(B453+D453)/2</f>
        <v>1.3823007675795089</v>
      </c>
      <c r="D453" s="6">
        <f>SUBSTITUTE(INDEX(ログ!P:P,$F$11+ROW(A452)-1),":","")*$G$5</f>
        <v>1.3823007675795089</v>
      </c>
      <c r="E453" s="4"/>
      <c r="F453" s="2"/>
      <c r="G453" s="2"/>
      <c r="H453" s="5" t="e">
        <f t="shared" si="22"/>
        <v>#VALUE!</v>
      </c>
      <c r="I453" s="5" t="e">
        <f t="shared" si="23"/>
        <v>#VALUE!</v>
      </c>
      <c r="J453" s="5">
        <f>ROUNDDOWN(INDEX(ログ!S:S,$F$11+ROW(A452)-1) * $F$8,0)</f>
        <v>80</v>
      </c>
    </row>
    <row r="454" spans="1:10">
      <c r="A454" t="str">
        <f>INDEX(ログ!A:A,$F$11+ROW(A453)-1)</f>
        <v xml:space="preserve">  0 :  0  0  1</v>
      </c>
      <c r="B454" s="6">
        <f>INDEX(ログ!N:N,$F$11+ROW(A453)-1)*$G$5</f>
        <v>1.7278759594743862</v>
      </c>
      <c r="C454" s="6">
        <f t="shared" si="24"/>
        <v>1.7278759594743862</v>
      </c>
      <c r="D454" s="6">
        <f>SUBSTITUTE(INDEX(ログ!P:P,$F$11+ROW(A453)-1),":","")*$G$5</f>
        <v>1.7278759594743862</v>
      </c>
      <c r="E454" s="4"/>
      <c r="F454" s="2"/>
      <c r="G454" s="2"/>
      <c r="H454" s="5" t="e">
        <f t="shared" si="22"/>
        <v>#VALUE!</v>
      </c>
      <c r="I454" s="5" t="e">
        <f t="shared" si="23"/>
        <v>#VALUE!</v>
      </c>
      <c r="J454" s="5">
        <f>ROUNDDOWN(INDEX(ログ!S:S,$F$11+ROW(A453)-1) * $F$8,0)</f>
        <v>80</v>
      </c>
    </row>
    <row r="455" spans="1:10">
      <c r="A455" t="str">
        <f>INDEX(ログ!A:A,$F$11+ROW(A454)-1)</f>
        <v xml:space="preserve">  0 :  0  0  1</v>
      </c>
      <c r="B455" s="6">
        <f>INDEX(ログ!N:N,$F$11+ROW(A454)-1)*$G$5</f>
        <v>1.3823007675795089</v>
      </c>
      <c r="C455" s="6">
        <f t="shared" si="24"/>
        <v>1.3823007675795089</v>
      </c>
      <c r="D455" s="6">
        <f>SUBSTITUTE(INDEX(ログ!P:P,$F$11+ROW(A454)-1),":","")*$G$5</f>
        <v>1.3823007675795089</v>
      </c>
      <c r="E455" s="4"/>
      <c r="F455" s="2"/>
      <c r="G455" s="2"/>
      <c r="H455" s="5" t="e">
        <f t="shared" si="22"/>
        <v>#VALUE!</v>
      </c>
      <c r="I455" s="5" t="e">
        <f t="shared" si="23"/>
        <v>#VALUE!</v>
      </c>
      <c r="J455" s="5">
        <f>ROUNDDOWN(INDEX(ログ!S:S,$F$11+ROW(A454)-1) * $F$8,0)</f>
        <v>80</v>
      </c>
    </row>
    <row r="456" spans="1:10">
      <c r="A456" t="str">
        <f>INDEX(ログ!A:A,$F$11+ROW(A455)-1)</f>
        <v xml:space="preserve">  0 :  0  0  1</v>
      </c>
      <c r="B456" s="6">
        <f>INDEX(ログ!N:N,$F$11+ROW(A455)-1)*$G$5</f>
        <v>0.69115038378975446</v>
      </c>
      <c r="C456" s="6">
        <f t="shared" si="24"/>
        <v>0.86393797973719311</v>
      </c>
      <c r="D456" s="6">
        <f>SUBSTITUTE(INDEX(ログ!P:P,$F$11+ROW(A455)-1),":","")*$G$5</f>
        <v>1.0367255756846316</v>
      </c>
      <c r="E456" s="4"/>
      <c r="F456" s="2"/>
      <c r="G456" s="2"/>
      <c r="H456" s="5" t="e">
        <f t="shared" si="22"/>
        <v>#VALUE!</v>
      </c>
      <c r="I456" s="5" t="e">
        <f t="shared" si="23"/>
        <v>#VALUE!</v>
      </c>
      <c r="J456" s="5">
        <f>ROUNDDOWN(INDEX(ログ!S:S,$F$11+ROW(A455)-1) * $F$8,0)</f>
        <v>80</v>
      </c>
    </row>
    <row r="457" spans="1:10">
      <c r="A457" t="str">
        <f>INDEX(ログ!A:A,$F$11+ROW(A456)-1)</f>
        <v xml:space="preserve">  0 :  0  0  1</v>
      </c>
      <c r="B457" s="6">
        <f>INDEX(ログ!N:N,$F$11+ROW(A456)-1)*$G$5</f>
        <v>1.3823007675795089</v>
      </c>
      <c r="C457" s="6">
        <f t="shared" si="24"/>
        <v>1.3823007675795089</v>
      </c>
      <c r="D457" s="6">
        <f>SUBSTITUTE(INDEX(ログ!P:P,$F$11+ROW(A456)-1),":","")*$G$5</f>
        <v>1.3823007675795089</v>
      </c>
      <c r="E457" s="4"/>
      <c r="F457" s="2"/>
      <c r="G457" s="2"/>
      <c r="H457" s="5" t="e">
        <f t="shared" si="22"/>
        <v>#VALUE!</v>
      </c>
      <c r="I457" s="5" t="e">
        <f t="shared" si="23"/>
        <v>#VALUE!</v>
      </c>
      <c r="J457" s="5">
        <f>ROUNDDOWN(INDEX(ログ!S:S,$F$11+ROW(A456)-1) * $F$8,0)</f>
        <v>80</v>
      </c>
    </row>
    <row r="458" spans="1:10">
      <c r="A458" t="str">
        <f>INDEX(ログ!A:A,$F$11+ROW(A457)-1)</f>
        <v xml:space="preserve"> 99 :  0  0  1</v>
      </c>
      <c r="B458" s="6">
        <f>INDEX(ログ!N:N,$F$11+ROW(A457)-1)*$G$5</f>
        <v>1.3823007675795089</v>
      </c>
      <c r="C458" s="6">
        <f t="shared" si="24"/>
        <v>1.3823007675795089</v>
      </c>
      <c r="D458" s="6">
        <f>SUBSTITUTE(INDEX(ログ!P:P,$F$11+ROW(A457)-1),":","")*$G$5</f>
        <v>1.3823007675795089</v>
      </c>
      <c r="E458" s="4"/>
      <c r="F458" s="2"/>
      <c r="G458" s="2"/>
      <c r="H458" s="5" t="e">
        <f t="shared" si="22"/>
        <v>#VALUE!</v>
      </c>
      <c r="I458" s="5" t="e">
        <f t="shared" si="23"/>
        <v>#VALUE!</v>
      </c>
      <c r="J458" s="5">
        <f>ROUNDDOWN(INDEX(ログ!S:S,$F$11+ROW(A457)-1) * $F$8,0)</f>
        <v>80</v>
      </c>
    </row>
    <row r="459" spans="1:10">
      <c r="A459" t="str">
        <f>INDEX(ログ!A:A,$F$11+ROW(A458)-1)</f>
        <v xml:space="preserve"> 99 :  0  0  1</v>
      </c>
      <c r="B459" s="6">
        <f>INDEX(ログ!N:N,$F$11+ROW(A458)-1)*$G$5</f>
        <v>1.0367255756846316</v>
      </c>
      <c r="C459" s="6">
        <f t="shared" si="24"/>
        <v>1.0367255756846316</v>
      </c>
      <c r="D459" s="6">
        <f>SUBSTITUTE(INDEX(ログ!P:P,$F$11+ROW(A458)-1),":","")*$G$5</f>
        <v>1.0367255756846316</v>
      </c>
      <c r="E459" s="4"/>
      <c r="F459" s="2"/>
      <c r="G459" s="2"/>
      <c r="H459" s="5" t="e">
        <f t="shared" si="22"/>
        <v>#VALUE!</v>
      </c>
      <c r="I459" s="5" t="e">
        <f t="shared" si="23"/>
        <v>#VALUE!</v>
      </c>
      <c r="J459" s="5">
        <f>ROUNDDOWN(INDEX(ログ!S:S,$F$11+ROW(A458)-1) * $F$8,0)</f>
        <v>80</v>
      </c>
    </row>
    <row r="460" spans="1:10">
      <c r="A460" t="str">
        <f>INDEX(ログ!A:A,$F$11+ROW(A459)-1)</f>
        <v xml:space="preserve"> 99 :  0  0  1</v>
      </c>
      <c r="B460" s="6">
        <f>INDEX(ログ!N:N,$F$11+ROW(A459)-1)*$G$5</f>
        <v>0.69115038378975446</v>
      </c>
      <c r="C460" s="6">
        <f t="shared" si="24"/>
        <v>0.86393797973719311</v>
      </c>
      <c r="D460" s="6">
        <f>SUBSTITUTE(INDEX(ログ!P:P,$F$11+ROW(A459)-1),":","")*$G$5</f>
        <v>1.0367255756846316</v>
      </c>
      <c r="E460" s="4"/>
      <c r="F460" s="2"/>
      <c r="G460" s="2"/>
      <c r="H460" s="5" t="e">
        <f t="shared" si="22"/>
        <v>#VALUE!</v>
      </c>
      <c r="I460" s="5" t="e">
        <f t="shared" si="23"/>
        <v>#VALUE!</v>
      </c>
      <c r="J460" s="5">
        <f>ROUNDDOWN(INDEX(ログ!S:S,$F$11+ROW(A459)-1) * $F$8,0)</f>
        <v>80</v>
      </c>
    </row>
    <row r="461" spans="1:10">
      <c r="A461" t="str">
        <f>INDEX(ログ!A:A,$F$11+ROW(A460)-1)</f>
        <v xml:space="preserve"> 99 :  0  0  1</v>
      </c>
      <c r="B461" s="6">
        <f>INDEX(ログ!N:N,$F$11+ROW(A460)-1)*$G$5</f>
        <v>0.69115038378975446</v>
      </c>
      <c r="C461" s="6">
        <f t="shared" si="24"/>
        <v>0.69115038378975446</v>
      </c>
      <c r="D461" s="6">
        <f>SUBSTITUTE(INDEX(ログ!P:P,$F$11+ROW(A460)-1),":","")*$G$5</f>
        <v>0.69115038378975446</v>
      </c>
      <c r="E461" s="4"/>
      <c r="F461" s="2"/>
      <c r="G461" s="2"/>
      <c r="H461" s="5" t="e">
        <f t="shared" si="22"/>
        <v>#VALUE!</v>
      </c>
      <c r="I461" s="5" t="e">
        <f t="shared" si="23"/>
        <v>#VALUE!</v>
      </c>
      <c r="J461" s="5">
        <f>ROUNDDOWN(INDEX(ログ!S:S,$F$11+ROW(A460)-1) * $F$8,0)</f>
        <v>80</v>
      </c>
    </row>
    <row r="462" spans="1:10">
      <c r="A462" t="str">
        <f>INDEX(ログ!A:A,$F$11+ROW(A461)-1)</f>
        <v xml:space="preserve"> 99 :  0  0  1</v>
      </c>
      <c r="B462" s="6">
        <f>INDEX(ログ!N:N,$F$11+ROW(A461)-1)*$G$5</f>
        <v>0.34557519189487723</v>
      </c>
      <c r="C462" s="6">
        <f t="shared" si="24"/>
        <v>0.34557519189487723</v>
      </c>
      <c r="D462" s="6">
        <f>SUBSTITUTE(INDEX(ログ!P:P,$F$11+ROW(A461)-1),":","")*$G$5</f>
        <v>0.34557519189487723</v>
      </c>
      <c r="E462" s="4"/>
      <c r="F462" s="2"/>
      <c r="G462" s="2"/>
      <c r="H462" s="5" t="e">
        <f t="shared" si="22"/>
        <v>#VALUE!</v>
      </c>
      <c r="I462" s="5" t="e">
        <f t="shared" si="23"/>
        <v>#VALUE!</v>
      </c>
      <c r="J462" s="5">
        <f>ROUNDDOWN(INDEX(ログ!S:S,$F$11+ROW(A461)-1) * $F$8,0)</f>
        <v>80</v>
      </c>
    </row>
    <row r="463" spans="1:10">
      <c r="A463" t="str">
        <f>INDEX(ログ!A:A,$F$11+ROW(A462)-1)</f>
        <v xml:space="preserve"> 99 :  0  0  1</v>
      </c>
      <c r="B463" s="6">
        <f>INDEX(ログ!N:N,$F$11+ROW(A462)-1)*$G$5</f>
        <v>0.34557519189487723</v>
      </c>
      <c r="C463" s="6">
        <f t="shared" si="24"/>
        <v>0.34557519189487723</v>
      </c>
      <c r="D463" s="6">
        <f>SUBSTITUTE(INDEX(ログ!P:P,$F$11+ROW(A462)-1),":","")*$G$5</f>
        <v>0.34557519189487723</v>
      </c>
      <c r="E463" s="4"/>
      <c r="F463" s="2"/>
      <c r="G463" s="2"/>
      <c r="H463" s="5" t="e">
        <f t="shared" si="22"/>
        <v>#VALUE!</v>
      </c>
      <c r="I463" s="5" t="e">
        <f t="shared" si="23"/>
        <v>#VALUE!</v>
      </c>
      <c r="J463" s="5">
        <f>ROUNDDOWN(INDEX(ログ!S:S,$F$11+ROW(A462)-1) * $F$8,0)</f>
        <v>80</v>
      </c>
    </row>
    <row r="464" spans="1:10">
      <c r="A464" t="str">
        <f>INDEX(ログ!A:A,$F$11+ROW(A463)-1)</f>
        <v xml:space="preserve"> 99 :  0  0  1</v>
      </c>
      <c r="B464" s="6">
        <f>INDEX(ログ!N:N,$F$11+ROW(A463)-1)*$G$5</f>
        <v>0</v>
      </c>
      <c r="C464" s="6">
        <f t="shared" si="24"/>
        <v>0</v>
      </c>
      <c r="D464" s="6">
        <f>SUBSTITUTE(INDEX(ログ!P:P,$F$11+ROW(A463)-1),":","")*$G$5</f>
        <v>0</v>
      </c>
      <c r="E464" s="4"/>
      <c r="F464" s="2"/>
      <c r="G464" s="2"/>
      <c r="H464" s="5" t="e">
        <f t="shared" si="22"/>
        <v>#VALUE!</v>
      </c>
      <c r="I464" s="5" t="e">
        <f t="shared" si="23"/>
        <v>#VALUE!</v>
      </c>
      <c r="J464" s="5">
        <f>ROUNDDOWN(INDEX(ログ!S:S,$F$11+ROW(A463)-1) * $F$8,0)</f>
        <v>80</v>
      </c>
    </row>
    <row r="465" spans="1:10">
      <c r="A465" t="str">
        <f>INDEX(ログ!A:A,$F$11+ROW(A464)-1)</f>
        <v xml:space="preserve"> 99 :  0  0  1</v>
      </c>
      <c r="B465" s="6">
        <f>INDEX(ログ!N:N,$F$11+ROW(A464)-1)*$G$5</f>
        <v>0</v>
      </c>
      <c r="C465" s="6">
        <f t="shared" si="24"/>
        <v>0</v>
      </c>
      <c r="D465" s="6">
        <f>SUBSTITUTE(INDEX(ログ!P:P,$F$11+ROW(A464)-1),":","")*$G$5</f>
        <v>0</v>
      </c>
      <c r="E465" s="4"/>
      <c r="F465" s="2"/>
      <c r="G465" s="2"/>
      <c r="H465" s="5" t="e">
        <f t="shared" si="22"/>
        <v>#VALUE!</v>
      </c>
      <c r="I465" s="5" t="e">
        <f t="shared" si="23"/>
        <v>#VALUE!</v>
      </c>
      <c r="J465" s="5">
        <f>ROUNDDOWN(INDEX(ログ!S:S,$F$11+ROW(A464)-1) * $F$8,0)</f>
        <v>80</v>
      </c>
    </row>
    <row r="466" spans="1:10">
      <c r="A466" t="str">
        <f>INDEX(ログ!A:A,$F$11+ROW(A465)-1)</f>
        <v xml:space="preserve"> 99 :  0  0  1</v>
      </c>
      <c r="B466" s="6">
        <f>INDEX(ログ!N:N,$F$11+ROW(A465)-1)*$G$5</f>
        <v>0</v>
      </c>
      <c r="C466" s="6">
        <f t="shared" si="24"/>
        <v>0</v>
      </c>
      <c r="D466" s="6">
        <f>SUBSTITUTE(INDEX(ログ!P:P,$F$11+ROW(A465)-1),":","")*$G$5</f>
        <v>0</v>
      </c>
      <c r="E466" s="4"/>
      <c r="F466" s="2"/>
      <c r="G466" s="2"/>
      <c r="H466" s="5" t="e">
        <f t="shared" si="22"/>
        <v>#VALUE!</v>
      </c>
      <c r="I466" s="5" t="e">
        <f t="shared" si="23"/>
        <v>#VALUE!</v>
      </c>
      <c r="J466" s="5">
        <f>ROUNDDOWN(INDEX(ログ!S:S,$F$11+ROW(A465)-1) * $F$8,0)</f>
        <v>80</v>
      </c>
    </row>
    <row r="467" spans="1:10">
      <c r="A467" t="str">
        <f>INDEX(ログ!A:A,$F$11+ROW(A466)-1)</f>
        <v xml:space="preserve"> 99 :  0  0  1</v>
      </c>
      <c r="B467" s="6">
        <f>INDEX(ログ!N:N,$F$11+ROW(A466)-1)*$G$5</f>
        <v>-0.34557519189487723</v>
      </c>
      <c r="C467" s="6">
        <f t="shared" si="24"/>
        <v>-0.17278759594743862</v>
      </c>
      <c r="D467" s="6">
        <f>SUBSTITUTE(INDEX(ログ!P:P,$F$11+ROW(A466)-1),":","")*$G$5</f>
        <v>0</v>
      </c>
      <c r="E467" s="4"/>
      <c r="F467" s="2"/>
      <c r="G467" s="2"/>
      <c r="H467" s="5" t="e">
        <f t="shared" si="22"/>
        <v>#VALUE!</v>
      </c>
      <c r="I467" s="5" t="e">
        <f t="shared" si="23"/>
        <v>#VALUE!</v>
      </c>
      <c r="J467" s="5">
        <f>ROUNDDOWN(INDEX(ログ!S:S,$F$11+ROW(A466)-1) * $F$8,0)</f>
        <v>80</v>
      </c>
    </row>
    <row r="468" spans="1:10">
      <c r="A468" t="str">
        <f>INDEX(ログ!A:A,$F$11+ROW(A467)-1)</f>
        <v xml:space="preserve"> 99 :  0  0  1</v>
      </c>
      <c r="B468" s="6">
        <f>INDEX(ログ!N:N,$F$11+ROW(A467)-1)*$G$5</f>
        <v>0</v>
      </c>
      <c r="C468" s="6">
        <f t="shared" si="24"/>
        <v>0</v>
      </c>
      <c r="D468" s="6">
        <f>SUBSTITUTE(INDEX(ログ!P:P,$F$11+ROW(A467)-1),":","")*$G$5</f>
        <v>0</v>
      </c>
      <c r="E468" s="4"/>
      <c r="F468" s="2"/>
      <c r="G468" s="2"/>
      <c r="H468" s="5" t="e">
        <f t="shared" si="22"/>
        <v>#VALUE!</v>
      </c>
      <c r="I468" s="5" t="e">
        <f t="shared" si="23"/>
        <v>#VALUE!</v>
      </c>
      <c r="J468" s="5">
        <f>ROUNDDOWN(INDEX(ログ!S:S,$F$11+ROW(A467)-1) * $F$8,0)</f>
        <v>80</v>
      </c>
    </row>
    <row r="469" spans="1:10">
      <c r="A469" t="str">
        <f>INDEX(ログ!A:A,$F$11+ROW(A468)-1)</f>
        <v xml:space="preserve"> 99 :  0  0  1</v>
      </c>
      <c r="B469" s="6">
        <f>INDEX(ログ!N:N,$F$11+ROW(A468)-1)*$G$5</f>
        <v>0</v>
      </c>
      <c r="C469" s="6">
        <f t="shared" si="24"/>
        <v>0</v>
      </c>
      <c r="D469" s="6">
        <f>SUBSTITUTE(INDEX(ログ!P:P,$F$11+ROW(A468)-1),":","")*$G$5</f>
        <v>0</v>
      </c>
      <c r="E469" s="4"/>
      <c r="F469" s="2"/>
      <c r="G469" s="2"/>
      <c r="H469" s="5" t="e">
        <f t="shared" si="22"/>
        <v>#VALUE!</v>
      </c>
      <c r="I469" s="5" t="e">
        <f t="shared" si="23"/>
        <v>#VALUE!</v>
      </c>
      <c r="J469" s="5">
        <f>ROUNDDOWN(INDEX(ログ!S:S,$F$11+ROW(A468)-1) * $F$8,0)</f>
        <v>80</v>
      </c>
    </row>
    <row r="470" spans="1:10">
      <c r="A470" t="str">
        <f>INDEX(ログ!A:A,$F$11+ROW(A469)-1)</f>
        <v xml:space="preserve"> 99 :  0  0  1</v>
      </c>
      <c r="B470" s="6">
        <f>INDEX(ログ!N:N,$F$11+ROW(A469)-1)*$G$5</f>
        <v>0</v>
      </c>
      <c r="C470" s="6">
        <f t="shared" si="24"/>
        <v>0</v>
      </c>
      <c r="D470" s="6">
        <f>SUBSTITUTE(INDEX(ログ!P:P,$F$11+ROW(A469)-1),":","")*$G$5</f>
        <v>0</v>
      </c>
      <c r="E470" s="4"/>
      <c r="F470" s="2"/>
      <c r="G470" s="2"/>
      <c r="H470" s="5" t="e">
        <f t="shared" si="22"/>
        <v>#VALUE!</v>
      </c>
      <c r="I470" s="5" t="e">
        <f t="shared" si="23"/>
        <v>#VALUE!</v>
      </c>
      <c r="J470" s="5">
        <f>ROUNDDOWN(INDEX(ログ!S:S,$F$11+ROW(A469)-1) * $F$8,0)</f>
        <v>80</v>
      </c>
    </row>
    <row r="471" spans="1:10">
      <c r="A471" t="str">
        <f>INDEX(ログ!A:A,$F$11+ROW(A470)-1)</f>
        <v xml:space="preserve"> 99 :  0  0  1</v>
      </c>
      <c r="B471" s="6">
        <f>INDEX(ログ!N:N,$F$11+ROW(A470)-1)*$G$5</f>
        <v>0</v>
      </c>
      <c r="C471" s="6">
        <f t="shared" si="24"/>
        <v>0</v>
      </c>
      <c r="D471" s="6">
        <f>SUBSTITUTE(INDEX(ログ!P:P,$F$11+ROW(A470)-1),":","")*$G$5</f>
        <v>0</v>
      </c>
      <c r="E471" s="4"/>
      <c r="F471" s="2"/>
      <c r="G471" s="2"/>
      <c r="H471" s="5" t="e">
        <f t="shared" si="22"/>
        <v>#VALUE!</v>
      </c>
      <c r="I471" s="5" t="e">
        <f t="shared" si="23"/>
        <v>#VALUE!</v>
      </c>
      <c r="J471" s="5">
        <f>ROUNDDOWN(INDEX(ログ!S:S,$F$11+ROW(A470)-1) * $F$8,0)</f>
        <v>80</v>
      </c>
    </row>
    <row r="472" spans="1:10">
      <c r="A472" t="str">
        <f>INDEX(ログ!A:A,$F$11+ROW(A471)-1)</f>
        <v xml:space="preserve"> 99 :  0  0  1</v>
      </c>
      <c r="B472" s="6">
        <f>INDEX(ログ!N:N,$F$11+ROW(A471)-1)*$G$5</f>
        <v>0</v>
      </c>
      <c r="C472" s="6">
        <f t="shared" si="24"/>
        <v>0</v>
      </c>
      <c r="D472" s="6">
        <f>SUBSTITUTE(INDEX(ログ!P:P,$F$11+ROW(A471)-1),":","")*$G$5</f>
        <v>0</v>
      </c>
      <c r="E472" s="4"/>
      <c r="F472" s="2"/>
      <c r="G472" s="2"/>
      <c r="H472" s="5" t="e">
        <f t="shared" si="22"/>
        <v>#VALUE!</v>
      </c>
      <c r="I472" s="5" t="e">
        <f t="shared" si="23"/>
        <v>#VALUE!</v>
      </c>
      <c r="J472" s="5">
        <f>ROUNDDOWN(INDEX(ログ!S:S,$F$11+ROW(A471)-1) * $F$8,0)</f>
        <v>80</v>
      </c>
    </row>
    <row r="473" spans="1:10">
      <c r="A473" t="str">
        <f>INDEX(ログ!A:A,$F$11+ROW(A472)-1)</f>
        <v xml:space="preserve"> 99 :  0  0  1</v>
      </c>
      <c r="B473" s="6">
        <f>INDEX(ログ!N:N,$F$11+ROW(A472)-1)*$G$5</f>
        <v>0</v>
      </c>
      <c r="C473" s="6">
        <f t="shared" si="24"/>
        <v>0</v>
      </c>
      <c r="D473" s="6">
        <f>SUBSTITUTE(INDEX(ログ!P:P,$F$11+ROW(A472)-1),":","")*$G$5</f>
        <v>0</v>
      </c>
      <c r="E473" s="4"/>
      <c r="F473" s="2"/>
      <c r="G473" s="2"/>
      <c r="H473" s="5" t="e">
        <f t="shared" si="22"/>
        <v>#VALUE!</v>
      </c>
      <c r="I473" s="5" t="e">
        <f t="shared" si="23"/>
        <v>#VALUE!</v>
      </c>
      <c r="J473" s="5">
        <f>ROUNDDOWN(INDEX(ログ!S:S,$F$11+ROW(A472)-1) * $F$8,0)</f>
        <v>80</v>
      </c>
    </row>
    <row r="474" spans="1:10">
      <c r="A474" t="str">
        <f>INDEX(ログ!A:A,$F$11+ROW(A473)-1)</f>
        <v xml:space="preserve"> 99 :  0  0  1</v>
      </c>
      <c r="B474" s="6">
        <f>INDEX(ログ!N:N,$F$11+ROW(A473)-1)*$G$5</f>
        <v>0</v>
      </c>
      <c r="C474" s="6">
        <f t="shared" si="24"/>
        <v>0</v>
      </c>
      <c r="D474" s="6">
        <f>SUBSTITUTE(INDEX(ログ!P:P,$F$11+ROW(A473)-1),":","")*$G$5</f>
        <v>0</v>
      </c>
      <c r="E474" s="4"/>
      <c r="F474" s="2"/>
      <c r="G474" s="2"/>
      <c r="H474" s="5" t="e">
        <f t="shared" si="22"/>
        <v>#VALUE!</v>
      </c>
      <c r="I474" s="5" t="e">
        <f t="shared" si="23"/>
        <v>#VALUE!</v>
      </c>
      <c r="J474" s="5">
        <f>ROUNDDOWN(INDEX(ログ!S:S,$F$11+ROW(A473)-1) * $F$8,0)</f>
        <v>80</v>
      </c>
    </row>
    <row r="475" spans="1:10">
      <c r="A475" t="str">
        <f>INDEX(ログ!A:A,$F$11+ROW(A474)-1)</f>
        <v xml:space="preserve"> 99 :  0  0  1</v>
      </c>
      <c r="B475" s="6">
        <f>INDEX(ログ!N:N,$F$11+ROW(A474)-1)*$G$5</f>
        <v>0</v>
      </c>
      <c r="C475" s="6">
        <f t="shared" si="24"/>
        <v>0</v>
      </c>
      <c r="D475" s="6">
        <f>SUBSTITUTE(INDEX(ログ!P:P,$F$11+ROW(A474)-1),":","")*$G$5</f>
        <v>0</v>
      </c>
      <c r="E475" s="4"/>
      <c r="F475" s="2"/>
      <c r="G475" s="2"/>
      <c r="H475" s="5" t="e">
        <f t="shared" si="22"/>
        <v>#VALUE!</v>
      </c>
      <c r="I475" s="5" t="e">
        <f t="shared" si="23"/>
        <v>#VALUE!</v>
      </c>
      <c r="J475" s="5">
        <f>ROUNDDOWN(INDEX(ログ!S:S,$F$11+ROW(A474)-1) * $F$8,0)</f>
        <v>80</v>
      </c>
    </row>
    <row r="476" spans="1:10">
      <c r="A476" t="str">
        <f>INDEX(ログ!A:A,$F$11+ROW(A475)-1)</f>
        <v xml:space="preserve"> 99 :  0  0  1</v>
      </c>
      <c r="B476" s="6">
        <f>INDEX(ログ!N:N,$F$11+ROW(A475)-1)*$G$5</f>
        <v>0</v>
      </c>
      <c r="C476" s="6">
        <f t="shared" si="24"/>
        <v>0</v>
      </c>
      <c r="D476" s="6">
        <f>SUBSTITUTE(INDEX(ログ!P:P,$F$11+ROW(A475)-1),":","")*$G$5</f>
        <v>0</v>
      </c>
      <c r="E476" s="4"/>
      <c r="F476" s="2"/>
      <c r="G476" s="2"/>
      <c r="H476" s="5" t="e">
        <f t="shared" si="22"/>
        <v>#VALUE!</v>
      </c>
      <c r="I476" s="5" t="e">
        <f t="shared" si="23"/>
        <v>#VALUE!</v>
      </c>
      <c r="J476" s="5">
        <f>ROUNDDOWN(INDEX(ログ!S:S,$F$11+ROW(A475)-1) * $F$8,0)</f>
        <v>80</v>
      </c>
    </row>
    <row r="477" spans="1:10">
      <c r="A477" t="str">
        <f>INDEX(ログ!A:A,$F$11+ROW(A476)-1)</f>
        <v xml:space="preserve"> 99 :  0  0  1</v>
      </c>
      <c r="B477" s="6">
        <f>INDEX(ログ!N:N,$F$11+ROW(A476)-1)*$G$5</f>
        <v>0</v>
      </c>
      <c r="C477" s="6">
        <f t="shared" si="24"/>
        <v>0</v>
      </c>
      <c r="D477" s="6">
        <f>SUBSTITUTE(INDEX(ログ!P:P,$F$11+ROW(A476)-1),":","")*$G$5</f>
        <v>0</v>
      </c>
      <c r="E477" s="4"/>
      <c r="F477" s="2"/>
      <c r="G477" s="2"/>
      <c r="H477" s="5" t="e">
        <f t="shared" si="22"/>
        <v>#VALUE!</v>
      </c>
      <c r="I477" s="5" t="e">
        <f t="shared" si="23"/>
        <v>#VALUE!</v>
      </c>
      <c r="J477" s="5">
        <f>ROUNDDOWN(INDEX(ログ!S:S,$F$11+ROW(A476)-1) * $F$8,0)</f>
        <v>80</v>
      </c>
    </row>
    <row r="478" spans="1:10">
      <c r="A478" t="str">
        <f>INDEX(ログ!A:A,$F$11+ROW(A477)-1)</f>
        <v xml:space="preserve"> 99 :  0  0  1</v>
      </c>
      <c r="B478" s="6">
        <f>INDEX(ログ!N:N,$F$11+ROW(A477)-1)*$G$5</f>
        <v>0</v>
      </c>
      <c r="C478" s="6">
        <f t="shared" si="24"/>
        <v>0</v>
      </c>
      <c r="D478" s="6">
        <f>SUBSTITUTE(INDEX(ログ!P:P,$F$11+ROW(A477)-1),":","")*$G$5</f>
        <v>0</v>
      </c>
      <c r="E478" s="4"/>
      <c r="F478" s="2"/>
      <c r="G478" s="2"/>
      <c r="H478" s="5" t="e">
        <f t="shared" si="22"/>
        <v>#VALUE!</v>
      </c>
      <c r="I478" s="5" t="e">
        <f t="shared" si="23"/>
        <v>#VALUE!</v>
      </c>
      <c r="J478" s="5">
        <f>ROUNDDOWN(INDEX(ログ!S:S,$F$11+ROW(A477)-1) * $F$8,0)</f>
        <v>80</v>
      </c>
    </row>
    <row r="479" spans="1:10">
      <c r="A479" t="str">
        <f>INDEX(ログ!A:A,$F$11+ROW(A478)-1)</f>
        <v xml:space="preserve">  0 :  0  0  0</v>
      </c>
      <c r="B479" s="6">
        <f>INDEX(ログ!N:N,$F$11+ROW(A478)-1)*$G$5</f>
        <v>0</v>
      </c>
      <c r="C479" s="6">
        <f t="shared" si="24"/>
        <v>0</v>
      </c>
      <c r="D479" s="6">
        <f>SUBSTITUTE(INDEX(ログ!P:P,$F$11+ROW(A478)-1),":","")*$G$5</f>
        <v>0</v>
      </c>
      <c r="E479" s="4"/>
      <c r="F479" s="2"/>
      <c r="G479" s="2"/>
      <c r="H479" s="5" t="e">
        <f t="shared" si="22"/>
        <v>#VALUE!</v>
      </c>
      <c r="I479" s="5" t="e">
        <f t="shared" si="23"/>
        <v>#VALUE!</v>
      </c>
      <c r="J479" s="5">
        <f>ROUNDDOWN(INDEX(ログ!S:S,$F$11+ROW(A478)-1) * $F$8,0)</f>
        <v>0</v>
      </c>
    </row>
    <row r="480" spans="1:10">
      <c r="A480" t="str">
        <f>INDEX(ログ!A:A,$F$11+ROW(A479)-1)</f>
        <v xml:space="preserve">  0 :  1  0  0</v>
      </c>
      <c r="B480" s="6">
        <f>INDEX(ログ!N:N,$F$11+ROW(A479)-1)*$G$5</f>
        <v>0</v>
      </c>
      <c r="C480" s="6">
        <f t="shared" si="24"/>
        <v>0</v>
      </c>
      <c r="D480" s="6">
        <f>SUBSTITUTE(INDEX(ログ!P:P,$F$11+ROW(A479)-1),":","")*$G$5</f>
        <v>0</v>
      </c>
      <c r="E480" s="4"/>
      <c r="F480" s="2"/>
      <c r="G480" s="2"/>
      <c r="H480" s="5" t="e">
        <f t="shared" si="22"/>
        <v>#VALUE!</v>
      </c>
      <c r="I480" s="5" t="e">
        <f t="shared" si="23"/>
        <v>#VALUE!</v>
      </c>
      <c r="J480" s="5">
        <f>ROUNDDOWN(INDEX(ログ!S:S,$F$11+ROW(A479)-1) * $F$8,0)</f>
        <v>128</v>
      </c>
    </row>
    <row r="481" spans="1:10">
      <c r="A481" t="str">
        <f>INDEX(ログ!A:A,$F$11+ROW(A480)-1)</f>
        <v xml:space="preserve">  0 :  0  2  0</v>
      </c>
      <c r="B481" s="6">
        <f>INDEX(ログ!N:N,$F$11+ROW(A480)-1)*$G$5</f>
        <v>0</v>
      </c>
      <c r="C481" s="6">
        <f t="shared" si="24"/>
        <v>0</v>
      </c>
      <c r="D481" s="6">
        <f>SUBSTITUTE(INDEX(ログ!P:P,$F$11+ROW(A480)-1),":","")*$G$5</f>
        <v>0</v>
      </c>
      <c r="E481" s="4"/>
      <c r="F481" s="2"/>
      <c r="G481" s="2"/>
      <c r="H481" s="5" t="e">
        <f t="shared" si="22"/>
        <v>#VALUE!</v>
      </c>
      <c r="I481" s="5" t="e">
        <f t="shared" si="23"/>
        <v>#VALUE!</v>
      </c>
      <c r="J481" s="5">
        <f>ROUNDDOWN(INDEX(ログ!S:S,$F$11+ROW(A480)-1) * $F$8,0)</f>
        <v>128</v>
      </c>
    </row>
    <row r="482" spans="1:10">
      <c r="A482" t="str">
        <f>INDEX(ログ!A:A,$F$11+ROW(A481)-1)</f>
        <v xml:space="preserve">  0 :  0  2  0</v>
      </c>
      <c r="B482" s="6">
        <f>INDEX(ログ!N:N,$F$11+ROW(A481)-1)*$G$5</f>
        <v>0</v>
      </c>
      <c r="C482" s="6">
        <f t="shared" si="24"/>
        <v>11.403981332530948</v>
      </c>
      <c r="D482" s="6">
        <f>SUBSTITUTE(INDEX(ログ!P:P,$F$11+ROW(A481)-1),":","")*$G$5</f>
        <v>22.807962665061897</v>
      </c>
      <c r="E482" s="4"/>
      <c r="F482" s="2"/>
      <c r="G482" s="2"/>
      <c r="H482" s="5" t="e">
        <f t="shared" si="22"/>
        <v>#VALUE!</v>
      </c>
      <c r="I482" s="5" t="e">
        <f t="shared" si="23"/>
        <v>#VALUE!</v>
      </c>
      <c r="J482" s="5">
        <f>ROUNDDOWN(INDEX(ログ!S:S,$F$11+ROW(A481)-1) * $F$8,0)</f>
        <v>4</v>
      </c>
    </row>
    <row r="483" spans="1:10">
      <c r="A483" t="str">
        <f>INDEX(ログ!A:A,$F$11+ROW(A482)-1)</f>
        <v xml:space="preserve">  0 :  1  2 32</v>
      </c>
      <c r="B483" s="6">
        <f>INDEX(ログ!N:N,$F$11+ROW(A482)-1)*$G$5</f>
        <v>5.5292030703180357</v>
      </c>
      <c r="C483" s="6">
        <f t="shared" si="24"/>
        <v>3.1101767270538949</v>
      </c>
      <c r="D483" s="6">
        <f>SUBSTITUTE(INDEX(ログ!P:P,$F$11+ROW(A482)-1),":","")*$G$5</f>
        <v>0.69115038378975446</v>
      </c>
      <c r="E483" s="4"/>
      <c r="F483" s="2"/>
      <c r="G483" s="2"/>
      <c r="H483" s="5" t="e">
        <f t="shared" si="22"/>
        <v>#VALUE!</v>
      </c>
      <c r="I483" s="5" t="e">
        <f t="shared" si="23"/>
        <v>#VALUE!</v>
      </c>
      <c r="J483" s="5">
        <f>ROUNDDOWN(INDEX(ログ!S:S,$F$11+ROW(A482)-1) * $F$8,0)</f>
        <v>132</v>
      </c>
    </row>
    <row r="484" spans="1:10">
      <c r="A484" t="str">
        <f>INDEX(ログ!A:A,$F$11+ROW(A483)-1)</f>
        <v xml:space="preserve">  2 :  0  0 16</v>
      </c>
      <c r="B484" s="6">
        <f>INDEX(ログ!N:N,$F$11+ROW(A483)-1)*$G$5</f>
        <v>2.7646015351590179</v>
      </c>
      <c r="C484" s="6">
        <f t="shared" si="24"/>
        <v>-17.797122382586178</v>
      </c>
      <c r="D484" s="6">
        <f>SUBSTITUTE(INDEX(ログ!P:P,$F$11+ROW(A483)-1),":","")*$G$5</f>
        <v>-38.358846300331372</v>
      </c>
      <c r="E484" s="4"/>
      <c r="F484" s="2"/>
      <c r="G484" s="2"/>
      <c r="H484" s="5" t="e">
        <f t="shared" si="22"/>
        <v>#VALUE!</v>
      </c>
      <c r="I484" s="5" t="e">
        <f t="shared" si="23"/>
        <v>#VALUE!</v>
      </c>
      <c r="J484" s="5">
        <f>ROUNDDOWN(INDEX(ログ!S:S,$F$11+ROW(A483)-1) * $F$8,0)</f>
        <v>0</v>
      </c>
    </row>
    <row r="485" spans="1:10">
      <c r="A485" t="str">
        <f>INDEX(ログ!A:A,$F$11+ROW(A484)-1)</f>
        <v xml:space="preserve"> 48 :  0  2  0</v>
      </c>
      <c r="B485" s="6">
        <f>INDEX(ログ!N:N,$F$11+ROW(A484)-1)*$G$5</f>
        <v>29.028316119169688</v>
      </c>
      <c r="C485" s="6">
        <f t="shared" si="24"/>
        <v>15.550883635269475</v>
      </c>
      <c r="D485" s="6">
        <f>SUBSTITUTE(INDEX(ログ!P:P,$F$11+ROW(A484)-1),":","")*$G$5</f>
        <v>2.0734511513692633</v>
      </c>
      <c r="E485" s="4"/>
      <c r="F485" s="2"/>
      <c r="G485" s="2"/>
      <c r="H485" s="5" t="e">
        <f t="shared" si="22"/>
        <v>#VALUE!</v>
      </c>
      <c r="I485" s="5" t="e">
        <f t="shared" si="23"/>
        <v>#VALUE!</v>
      </c>
      <c r="J485" s="5">
        <f>ROUNDDOWN(INDEX(ログ!S:S,$F$11+ROW(A484)-1) * $F$8,0)</f>
        <v>68</v>
      </c>
    </row>
    <row r="486" spans="1:10">
      <c r="A486" t="str">
        <f>INDEX(ログ!A:A,$F$11+ROW(A485)-1)</f>
        <v>-128 :  0  8  0</v>
      </c>
      <c r="B486" s="6">
        <f>INDEX(ログ!N:N,$F$11+ROW(A485)-1)*$G$5</f>
        <v>1.3823007675795089</v>
      </c>
      <c r="C486" s="6">
        <f t="shared" si="24"/>
        <v>3.8013271108436495</v>
      </c>
      <c r="D486" s="6">
        <f>SUBSTITUTE(INDEX(ログ!P:P,$F$11+ROW(A485)-1),":","")*$G$5</f>
        <v>6.2203534541077898</v>
      </c>
      <c r="E486" s="4"/>
      <c r="F486" s="2"/>
      <c r="G486" s="2"/>
      <c r="H486" s="5" t="e">
        <f t="shared" si="22"/>
        <v>#VALUE!</v>
      </c>
      <c r="I486" s="5" t="e">
        <f t="shared" si="23"/>
        <v>#VALUE!</v>
      </c>
      <c r="J486" s="5">
        <f>ROUNDDOWN(INDEX(ログ!S:S,$F$11+ROW(A485)-1) * $F$8,0)</f>
        <v>32</v>
      </c>
    </row>
    <row r="487" spans="1:10">
      <c r="A487" t="str">
        <f>INDEX(ログ!A:A,$F$11+ROW(A486)-1)</f>
        <v>-128 :  0  2  3</v>
      </c>
      <c r="B487" s="6">
        <f>INDEX(ログ!N:N,$F$11+ROW(A486)-1)*$G$5</f>
        <v>11.058406140636071</v>
      </c>
      <c r="C487" s="6">
        <f t="shared" si="24"/>
        <v>8.6393797973719302</v>
      </c>
      <c r="D487" s="6">
        <f>SUBSTITUTE(INDEX(ログ!P:P,$F$11+ROW(A486)-1),":","")*$G$5</f>
        <v>6.2203534541077898</v>
      </c>
      <c r="E487" s="4"/>
      <c r="F487" s="2"/>
      <c r="G487" s="2"/>
      <c r="H487" s="5" t="e">
        <f t="shared" si="22"/>
        <v>#VALUE!</v>
      </c>
      <c r="I487" s="5" t="e">
        <f t="shared" si="23"/>
        <v>#VALUE!</v>
      </c>
      <c r="J487" s="5">
        <f>ROUNDDOWN(INDEX(ログ!S:S,$F$11+ROW(A486)-1) * $F$8,0)</f>
        <v>164</v>
      </c>
    </row>
    <row r="488" spans="1:10">
      <c r="A488" t="str">
        <f>INDEX(ログ!A:A,$F$11+ROW(A487)-1)</f>
        <v>-128 :  0  2 100</v>
      </c>
      <c r="B488" s="6">
        <f>INDEX(ログ!N:N,$F$11+ROW(A487)-1)*$G$5</f>
        <v>11.058406140636071</v>
      </c>
      <c r="C488" s="6">
        <f t="shared" si="24"/>
        <v>5.5292030703180357</v>
      </c>
      <c r="D488" s="6">
        <f>SUBSTITUTE(INDEX(ログ!P:P,$F$11+ROW(A487)-1),":","")*$G$5</f>
        <v>0</v>
      </c>
      <c r="E488" s="4"/>
      <c r="F488" s="2"/>
      <c r="G488" s="2"/>
      <c r="H488" s="5" t="e">
        <f t="shared" si="22"/>
        <v>#VALUE!</v>
      </c>
      <c r="I488" s="5" t="e">
        <f t="shared" si="23"/>
        <v>#VALUE!</v>
      </c>
      <c r="J488" s="5">
        <f>ROUNDDOWN(INDEX(ログ!S:S,$F$11+ROW(A487)-1) * $F$8,0)</f>
        <v>0</v>
      </c>
    </row>
    <row r="489" spans="1:10">
      <c r="A489" t="str">
        <f>INDEX(ログ!A:A,$F$11+ROW(A488)-1)</f>
        <v xml:space="preserve"> 16 :  0  2  0</v>
      </c>
      <c r="B489" s="6">
        <f>INDEX(ログ!N:N,$F$11+ROW(A488)-1)*$G$5</f>
        <v>0</v>
      </c>
      <c r="C489" s="6">
        <f t="shared" si="24"/>
        <v>1.9006635554218247</v>
      </c>
      <c r="D489" s="6">
        <f>SUBSTITUTE(INDEX(ログ!P:P,$F$11+ROW(A488)-1),":","")*$G$5</f>
        <v>3.8013271108436495</v>
      </c>
      <c r="E489" s="4"/>
      <c r="F489" s="2"/>
      <c r="G489" s="2"/>
      <c r="H489" s="5" t="e">
        <f t="shared" si="22"/>
        <v>#VALUE!</v>
      </c>
      <c r="I489" s="5" t="e">
        <f t="shared" si="23"/>
        <v>#VALUE!</v>
      </c>
      <c r="J489" s="5">
        <f>ROUNDDOWN(INDEX(ログ!S:S,$F$11+ROW(A488)-1) * $F$8,0)</f>
        <v>0</v>
      </c>
    </row>
    <row r="490" spans="1:10">
      <c r="A490" t="str">
        <f>INDEX(ログ!A:A,$F$11+ROW(A489)-1)</f>
        <v>-110 :  0  8  0</v>
      </c>
      <c r="B490" s="6">
        <f>INDEX(ログ!N:N,$F$11+ROW(A489)-1)*$G$5</f>
        <v>11.058406140636071</v>
      </c>
      <c r="C490" s="6">
        <f t="shared" si="24"/>
        <v>5.5292030703180357</v>
      </c>
      <c r="D490" s="6">
        <f>SUBSTITUTE(INDEX(ログ!P:P,$F$11+ROW(A489)-1),":","")*$G$5</f>
        <v>0</v>
      </c>
      <c r="E490" s="4"/>
      <c r="F490" s="2"/>
      <c r="G490" s="2"/>
      <c r="H490" s="5" t="e">
        <f t="shared" si="22"/>
        <v>#VALUE!</v>
      </c>
      <c r="I490" s="5" t="e">
        <f t="shared" si="23"/>
        <v>#VALUE!</v>
      </c>
      <c r="J490" s="5">
        <f>ROUNDDOWN(INDEX(ログ!S:S,$F$11+ROW(A489)-1) * $F$8,0)</f>
        <v>80</v>
      </c>
    </row>
    <row r="491" spans="1:10">
      <c r="A491" t="str">
        <f>INDEX(ログ!A:A,$F$11+ROW(A490)-1)</f>
        <v xml:space="preserve">  0 :  4  0  8</v>
      </c>
      <c r="B491" s="6">
        <f>INDEX(ログ!N:N,$F$11+ROW(A490)-1)*$G$5</f>
        <v>0</v>
      </c>
      <c r="C491" s="6">
        <f t="shared" si="24"/>
        <v>1.0367255756846316</v>
      </c>
      <c r="D491" s="6">
        <f>SUBSTITUTE(INDEX(ログ!P:P,$F$11+ROW(A490)-1),":","")*$G$5</f>
        <v>2.0734511513692633</v>
      </c>
      <c r="E491" s="4"/>
      <c r="F491" s="2"/>
      <c r="G491" s="2"/>
      <c r="H491" s="5" t="e">
        <f t="shared" si="22"/>
        <v>#VALUE!</v>
      </c>
      <c r="I491" s="5" t="e">
        <f t="shared" si="23"/>
        <v>#VALUE!</v>
      </c>
      <c r="J491" s="5">
        <f>ROUNDDOWN(INDEX(ログ!S:S,$F$11+ROW(A490)-1) * $F$8,0)</f>
        <v>0</v>
      </c>
    </row>
    <row r="492" spans="1:10">
      <c r="A492" t="str">
        <f>INDEX(ログ!A:A,$F$11+ROW(A491)-1)</f>
        <v>-88 :  1  2  0</v>
      </c>
      <c r="B492" s="6">
        <f>INDEX(ログ!N:N,$F$11+ROW(A491)-1)*$G$5</f>
        <v>22.116812281272143</v>
      </c>
      <c r="C492" s="6">
        <f t="shared" si="24"/>
        <v>22.116812281272143</v>
      </c>
      <c r="D492" s="6">
        <f>SUBSTITUTE(INDEX(ログ!P:P,$F$11+ROW(A491)-1),":","")*$G$5</f>
        <v>22.116812281272143</v>
      </c>
      <c r="E492" s="4"/>
      <c r="F492" s="2"/>
      <c r="G492" s="2"/>
      <c r="H492" s="5" t="e">
        <f t="shared" si="22"/>
        <v>#VALUE!</v>
      </c>
      <c r="I492" s="5" t="e">
        <f t="shared" si="23"/>
        <v>#VALUE!</v>
      </c>
      <c r="J492" s="5">
        <f>ROUNDDOWN(INDEX(ログ!S:S,$F$11+ROW(A491)-1) * $F$8,0)</f>
        <v>0</v>
      </c>
    </row>
    <row r="493" spans="1:10">
      <c r="A493" t="str">
        <f>INDEX(ログ!A:A,$F$11+ROW(A492)-1)</f>
        <v>-127 :  0  0 16</v>
      </c>
      <c r="B493" s="6">
        <f>INDEX(ログ!N:N,$F$11+ROW(A492)-1)*$G$5</f>
        <v>0</v>
      </c>
      <c r="C493" s="6">
        <f t="shared" si="24"/>
        <v>-22.116812281272143</v>
      </c>
      <c r="D493" s="6">
        <f>SUBSTITUTE(INDEX(ログ!P:P,$F$11+ROW(A492)-1),":","")*$G$5</f>
        <v>-44.233624562544286</v>
      </c>
      <c r="E493" s="4"/>
      <c r="F493" s="2"/>
      <c r="G493" s="2"/>
      <c r="H493" s="5" t="e">
        <f t="shared" si="22"/>
        <v>#VALUE!</v>
      </c>
      <c r="I493" s="5" t="e">
        <f t="shared" si="23"/>
        <v>#VALUE!</v>
      </c>
      <c r="J493" s="5">
        <f>ROUNDDOWN(INDEX(ログ!S:S,$F$11+ROW(A492)-1) * $F$8,0)</f>
        <v>64</v>
      </c>
    </row>
    <row r="494" spans="1:10">
      <c r="A494" t="str">
        <f>INDEX(ログ!A:A,$F$11+ROW(A493)-1)</f>
        <v xml:space="preserve"> 40 :  0  0 64</v>
      </c>
      <c r="B494" s="6">
        <f>INDEX(ログ!N:N,$F$11+ROW(A493)-1)*$G$5</f>
        <v>2.7646015351590179</v>
      </c>
      <c r="C494" s="6">
        <f t="shared" si="24"/>
        <v>4.4924774946334036</v>
      </c>
      <c r="D494" s="6">
        <f>SUBSTITUTE(INDEX(ログ!P:P,$F$11+ROW(A493)-1),":","")*$G$5</f>
        <v>6.2203534541077898</v>
      </c>
      <c r="E494" s="4"/>
      <c r="F494" s="2"/>
      <c r="G494" s="2"/>
      <c r="H494" s="5" t="e">
        <f t="shared" si="22"/>
        <v>#VALUE!</v>
      </c>
      <c r="I494" s="5" t="e">
        <f t="shared" si="23"/>
        <v>#VALUE!</v>
      </c>
      <c r="J494" s="5">
        <f>ROUNDDOWN(INDEX(ログ!S:S,$F$11+ROW(A493)-1) * $F$8,0)</f>
        <v>-192</v>
      </c>
    </row>
    <row r="495" spans="1:10">
      <c r="A495" t="str">
        <f>INDEX(ログ!A:A,$F$11+ROW(A494)-1)</f>
        <v xml:space="preserve">  1 :  0  4  1</v>
      </c>
      <c r="B495" s="6">
        <f>INDEX(ログ!N:N,$F$11+ROW(A494)-1)*$G$5</f>
        <v>0</v>
      </c>
      <c r="C495" s="6">
        <f t="shared" si="24"/>
        <v>2.7646015351590179</v>
      </c>
      <c r="D495" s="6">
        <f>SUBSTITUTE(INDEX(ログ!P:P,$F$11+ROW(A494)-1),":","")*$G$5</f>
        <v>5.5292030703180357</v>
      </c>
      <c r="E495" s="4"/>
      <c r="F495" s="2"/>
      <c r="G495" s="2"/>
      <c r="H495" s="5" t="e">
        <f t="shared" si="22"/>
        <v>#VALUE!</v>
      </c>
      <c r="I495" s="5" t="e">
        <f t="shared" si="23"/>
        <v>#VALUE!</v>
      </c>
      <c r="J495" s="5">
        <f>ROUNDDOWN(INDEX(ログ!S:S,$F$11+ROW(A494)-1) * $F$8,0)</f>
        <v>128</v>
      </c>
    </row>
    <row r="496" spans="1:10">
      <c r="A496" t="str">
        <f>INDEX(ログ!A:A,$F$11+ROW(A495)-1)</f>
        <v xml:space="preserve">  0 :  0  0 128</v>
      </c>
      <c r="B496" s="6">
        <f>INDEX(ログ!N:N,$F$11+ROW(A495)-1)*$G$5</f>
        <v>33.175218421908212</v>
      </c>
      <c r="C496" s="6">
        <f t="shared" si="24"/>
        <v>22.116812281272143</v>
      </c>
      <c r="D496" s="6">
        <f>SUBSTITUTE(INDEX(ログ!P:P,$F$11+ROW(A495)-1),":","")*$G$5</f>
        <v>11.058406140636071</v>
      </c>
      <c r="E496" s="4"/>
      <c r="F496" s="2"/>
      <c r="G496" s="2"/>
      <c r="H496" s="5" t="e">
        <f t="shared" si="22"/>
        <v>#VALUE!</v>
      </c>
      <c r="I496" s="5" t="e">
        <f t="shared" si="23"/>
        <v>#VALUE!</v>
      </c>
      <c r="J496" s="5">
        <f>ROUNDDOWN(INDEX(ログ!S:S,$F$11+ROW(A495)-1) * $F$8,0)</f>
        <v>64</v>
      </c>
    </row>
    <row r="497" spans="1:10">
      <c r="A497" t="str">
        <f>INDEX(ログ!A:A,$F$11+ROW(A496)-1)</f>
        <v xml:space="preserve">  8 :  4  4 40</v>
      </c>
      <c r="B497" s="6">
        <f>INDEX(ログ!N:N,$F$11+ROW(A496)-1)*$G$5</f>
        <v>23.499113048851651</v>
      </c>
      <c r="C497" s="6">
        <f t="shared" si="24"/>
        <v>11.749556524425826</v>
      </c>
      <c r="D497" s="6">
        <f>SUBSTITUTE(INDEX(ログ!P:P,$F$11+ROW(A496)-1),":","")*$G$5</f>
        <v>0</v>
      </c>
      <c r="E497" s="4"/>
      <c r="F497" s="2"/>
      <c r="G497" s="2"/>
      <c r="H497" s="5" t="e">
        <f t="shared" si="22"/>
        <v>#VALUE!</v>
      </c>
      <c r="I497" s="5" t="e">
        <f t="shared" si="23"/>
        <v>#VALUE!</v>
      </c>
      <c r="J497" s="5">
        <f>ROUNDDOWN(INDEX(ログ!S:S,$F$11+ROW(A496)-1) * $F$8,0)</f>
        <v>4</v>
      </c>
    </row>
    <row r="498" spans="1:10">
      <c r="A498" t="str">
        <f>INDEX(ログ!A:A,$F$11+ROW(A497)-1)</f>
        <v xml:space="preserve"> 48 :  0  0 176</v>
      </c>
      <c r="B498" s="6">
        <f>INDEX(ログ!N:N,$F$11+ROW(A497)-1)*$G$5</f>
        <v>5.8747782622129128</v>
      </c>
      <c r="C498" s="6">
        <f t="shared" si="24"/>
        <v>2.9373891311064564</v>
      </c>
      <c r="D498" s="6">
        <f>SUBSTITUTE(INDEX(ログ!P:P,$F$11+ROW(A497)-1),":","")*$G$5</f>
        <v>0</v>
      </c>
      <c r="E498" s="4"/>
      <c r="F498" s="2"/>
      <c r="G498" s="2"/>
      <c r="H498" s="5" t="e">
        <f t="shared" si="22"/>
        <v>#VALUE!</v>
      </c>
      <c r="I498" s="5" t="e">
        <f t="shared" si="23"/>
        <v>#VALUE!</v>
      </c>
      <c r="J498" s="5">
        <f>ROUNDDOWN(INDEX(ログ!S:S,$F$11+ROW(A497)-1) * $F$8,0)</f>
        <v>-158</v>
      </c>
    </row>
    <row r="499" spans="1:10">
      <c r="A499" t="str">
        <f>INDEX(ログ!A:A,$F$11+ROW(A498)-1)</f>
        <v xml:space="preserve">  0 : 12  0  4</v>
      </c>
      <c r="B499" s="6">
        <f>INDEX(ログ!N:N,$F$11+ROW(A498)-1)*$G$5</f>
        <v>0</v>
      </c>
      <c r="C499" s="6">
        <f t="shared" si="24"/>
        <v>-21.598449493429825</v>
      </c>
      <c r="D499" s="6">
        <f>SUBSTITUTE(INDEX(ログ!P:P,$F$11+ROW(A498)-1),":","")*$G$5</f>
        <v>-43.196898986859651</v>
      </c>
      <c r="E499" s="4"/>
      <c r="F499" s="2"/>
      <c r="G499" s="2"/>
      <c r="H499" s="5" t="e">
        <f t="shared" si="22"/>
        <v>#VALUE!</v>
      </c>
      <c r="I499" s="5" t="e">
        <f t="shared" si="23"/>
        <v>#VALUE!</v>
      </c>
      <c r="J499" s="5">
        <f>ROUNDDOWN(INDEX(ログ!S:S,$F$11+ROW(A498)-1) * $F$8,0)</f>
        <v>64</v>
      </c>
    </row>
    <row r="500" spans="1:10">
      <c r="A500" t="str">
        <f>INDEX(ログ!A:A,$F$11+ROW(A499)-1)</f>
        <v xml:space="preserve"> 10 :  0  0  0</v>
      </c>
      <c r="B500" s="6">
        <f>INDEX(ログ!N:N,$F$11+ROW(A499)-1)*$G$5</f>
        <v>0.69115038378975446</v>
      </c>
      <c r="C500" s="6">
        <f t="shared" si="24"/>
        <v>1.3823007675795089</v>
      </c>
      <c r="D500" s="6">
        <f>SUBSTITUTE(INDEX(ログ!P:P,$F$11+ROW(A499)-1),":","")*$G$5</f>
        <v>2.0734511513692633</v>
      </c>
      <c r="E500" s="4"/>
      <c r="F500" s="2"/>
      <c r="G500" s="2"/>
      <c r="H500" s="5" t="e">
        <f t="shared" si="22"/>
        <v>#VALUE!</v>
      </c>
      <c r="I500" s="5" t="e">
        <f t="shared" si="23"/>
        <v>#VALUE!</v>
      </c>
      <c r="J500" s="5">
        <f>ROUNDDOWN(INDEX(ログ!S:S,$F$11+ROW(A499)-1) * $F$8,0)</f>
        <v>-208</v>
      </c>
    </row>
    <row r="501" spans="1:10">
      <c r="A501" t="str">
        <f>INDEX(ログ!A:A,$F$11+ROW(A500)-1)</f>
        <v xml:space="preserve"> 64 :  1  0  4</v>
      </c>
      <c r="B501" s="6">
        <f>INDEX(ログ!N:N,$F$11+ROW(A500)-1)*$G$5</f>
        <v>0</v>
      </c>
      <c r="C501" s="6">
        <f t="shared" si="24"/>
        <v>2.7646015351590179</v>
      </c>
      <c r="D501" s="6">
        <f>SUBSTITUTE(INDEX(ログ!P:P,$F$11+ROW(A500)-1),":","")*$G$5</f>
        <v>5.5292030703180357</v>
      </c>
      <c r="E501" s="4"/>
      <c r="F501" s="2"/>
      <c r="G501" s="2"/>
      <c r="H501" s="5" t="e">
        <f t="shared" si="22"/>
        <v>#VALUE!</v>
      </c>
      <c r="I501" s="5" t="e">
        <f t="shared" si="23"/>
        <v>#VALUE!</v>
      </c>
      <c r="J501" s="5">
        <f>ROUNDDOWN(INDEX(ログ!S:S,$F$11+ROW(A500)-1) * $F$8,0)</f>
        <v>4</v>
      </c>
    </row>
    <row r="502" spans="1:10">
      <c r="A502" t="str">
        <f>INDEX(ログ!A:A,$F$11+ROW(A501)-1)</f>
        <v xml:space="preserve"> 20 :  2  0 12</v>
      </c>
      <c r="B502" s="6">
        <f>INDEX(ログ!N:N,$F$11+ROW(A501)-1)*$G$5</f>
        <v>22.116812281272143</v>
      </c>
      <c r="C502" s="6">
        <f t="shared" si="24"/>
        <v>19.352210746113123</v>
      </c>
      <c r="D502" s="6">
        <f>SUBSTITUTE(INDEX(ログ!P:P,$F$11+ROW(A501)-1),":","")*$G$5</f>
        <v>16.587609210954106</v>
      </c>
      <c r="E502" s="4"/>
      <c r="F502" s="2"/>
      <c r="G502" s="2"/>
      <c r="H502" s="5" t="e">
        <f t="shared" si="22"/>
        <v>#VALUE!</v>
      </c>
      <c r="I502" s="5" t="e">
        <f t="shared" si="23"/>
        <v>#VALUE!</v>
      </c>
      <c r="J502" s="5">
        <f>ROUNDDOWN(INDEX(ログ!S:S,$F$11+ROW(A501)-1) * $F$8,0)</f>
        <v>66</v>
      </c>
    </row>
    <row r="503" spans="1:10">
      <c r="A503" t="str">
        <f>INDEX(ログ!A:A,$F$11+ROW(A502)-1)</f>
        <v xml:space="preserve">  0 :  0  0  8</v>
      </c>
      <c r="B503" s="6">
        <f>INDEX(ログ!N:N,$F$11+ROW(A502)-1)*$G$5</f>
        <v>0</v>
      </c>
      <c r="C503" s="6">
        <f t="shared" si="24"/>
        <v>1.0367255756846316</v>
      </c>
      <c r="D503" s="6">
        <f>SUBSTITUTE(INDEX(ログ!P:P,$F$11+ROW(A502)-1),":","")*$G$5</f>
        <v>2.0734511513692633</v>
      </c>
      <c r="E503" s="4"/>
      <c r="F503" s="2"/>
      <c r="G503" s="2"/>
      <c r="H503" s="5" t="e">
        <f t="shared" si="22"/>
        <v>#VALUE!</v>
      </c>
      <c r="I503" s="5" t="e">
        <f t="shared" si="23"/>
        <v>#VALUE!</v>
      </c>
      <c r="J503" s="5">
        <f>ROUNDDOWN(INDEX(ログ!S:S,$F$11+ROW(A502)-1) * $F$8,0)</f>
        <v>160</v>
      </c>
    </row>
    <row r="504" spans="1:10">
      <c r="A504" t="str">
        <f>INDEX(ログ!A:A,$F$11+ROW(A503)-1)</f>
        <v xml:space="preserve">  8 :  0  0  4</v>
      </c>
      <c r="B504" s="6">
        <f>INDEX(ログ!N:N,$F$11+ROW(A503)-1)*$G$5</f>
        <v>5.5292030703180357</v>
      </c>
      <c r="C504" s="6">
        <f t="shared" si="24"/>
        <v>-8.2938046054770531</v>
      </c>
      <c r="D504" s="6">
        <f>SUBSTITUTE(INDEX(ログ!P:P,$F$11+ROW(A503)-1),":","")*$G$5</f>
        <v>-22.116812281272143</v>
      </c>
      <c r="E504" s="4"/>
      <c r="F504" s="2"/>
      <c r="G504" s="2"/>
      <c r="H504" s="5" t="e">
        <f t="shared" si="22"/>
        <v>#VALUE!</v>
      </c>
      <c r="I504" s="5" t="e">
        <f t="shared" si="23"/>
        <v>#VALUE!</v>
      </c>
      <c r="J504" s="5">
        <f>ROUNDDOWN(INDEX(ログ!S:S,$F$11+ROW(A503)-1) * $F$8,0)</f>
        <v>96</v>
      </c>
    </row>
    <row r="505" spans="1:10">
      <c r="A505" t="str">
        <f>INDEX(ログ!A:A,$F$11+ROW(A504)-1)</f>
        <v xml:space="preserve"> 64 :  0  0  0</v>
      </c>
      <c r="B505" s="6">
        <f>INDEX(ログ!N:N,$F$11+ROW(A504)-1)*$G$5</f>
        <v>5.5292030703180357</v>
      </c>
      <c r="C505" s="6">
        <f t="shared" si="24"/>
        <v>13.82300767579509</v>
      </c>
      <c r="D505" s="6">
        <f>SUBSTITUTE(INDEX(ログ!P:P,$F$11+ROW(A504)-1),":","")*$G$5</f>
        <v>22.116812281272143</v>
      </c>
      <c r="E505" s="4"/>
      <c r="F505" s="2"/>
      <c r="G505" s="2"/>
      <c r="H505" s="5" t="e">
        <f t="shared" si="22"/>
        <v>#VALUE!</v>
      </c>
      <c r="I505" s="5" t="e">
        <f t="shared" si="23"/>
        <v>#VALUE!</v>
      </c>
      <c r="J505" s="5">
        <f>ROUNDDOWN(INDEX(ログ!S:S,$F$11+ROW(A504)-1) * $F$8,0)</f>
        <v>0</v>
      </c>
    </row>
    <row r="506" spans="1:10">
      <c r="A506" t="str">
        <f>INDEX(ログ!A:A,$F$11+ROW(A505)-1)</f>
        <v xml:space="preserve">  8 :  0  0 128</v>
      </c>
      <c r="B506" s="6">
        <f>INDEX(ログ!N:N,$F$11+ROW(A505)-1)*$G$5</f>
        <v>0</v>
      </c>
      <c r="C506" s="6">
        <f t="shared" si="24"/>
        <v>2.7646015351590179</v>
      </c>
      <c r="D506" s="6">
        <f>SUBSTITUTE(INDEX(ログ!P:P,$F$11+ROW(A505)-1),":","")*$G$5</f>
        <v>5.5292030703180357</v>
      </c>
      <c r="E506" s="4"/>
      <c r="F506" s="2"/>
      <c r="G506" s="2"/>
      <c r="H506" s="5" t="e">
        <f t="shared" si="22"/>
        <v>#VALUE!</v>
      </c>
      <c r="I506" s="5" t="e">
        <f t="shared" si="23"/>
        <v>#VALUE!</v>
      </c>
      <c r="J506" s="5">
        <f>ROUNDDOWN(INDEX(ログ!S:S,$F$11+ROW(A505)-1) * $F$8,0)</f>
        <v>-224</v>
      </c>
    </row>
    <row r="507" spans="1:10">
      <c r="A507" t="str">
        <f>INDEX(ログ!A:A,$F$11+ROW(A506)-1)</f>
        <v xml:space="preserve">  0 :  0  2  8</v>
      </c>
      <c r="B507" s="6">
        <f>INDEX(ログ!N:N,$F$11+ROW(A506)-1)*$G$5</f>
        <v>0</v>
      </c>
      <c r="C507" s="6">
        <f t="shared" si="24"/>
        <v>3.1101767270538949</v>
      </c>
      <c r="D507" s="6">
        <f>SUBSTITUTE(INDEX(ログ!P:P,$F$11+ROW(A506)-1),":","")*$G$5</f>
        <v>6.2203534541077898</v>
      </c>
      <c r="E507" s="4"/>
      <c r="F507" s="2"/>
      <c r="G507" s="2"/>
      <c r="H507" s="5" t="e">
        <f t="shared" si="22"/>
        <v>#VALUE!</v>
      </c>
      <c r="I507" s="5" t="e">
        <f t="shared" si="23"/>
        <v>#VALUE!</v>
      </c>
      <c r="J507" s="5">
        <f>ROUNDDOWN(INDEX(ログ!S:S,$F$11+ROW(A506)-1) * $F$8,0)</f>
        <v>0</v>
      </c>
    </row>
    <row r="508" spans="1:10">
      <c r="A508" t="str">
        <f>INDEX(ログ!A:A,$F$11+ROW(A507)-1)</f>
        <v xml:space="preserve">  0 :  0  0  0</v>
      </c>
      <c r="B508" s="6">
        <f>INDEX(ログ!N:N,$F$11+ROW(A507)-1)*$G$5</f>
        <v>11.749556524425826</v>
      </c>
      <c r="C508" s="6">
        <f t="shared" si="24"/>
        <v>-13.477432483900213</v>
      </c>
      <c r="D508" s="6">
        <f>SUBSTITUTE(INDEX(ログ!P:P,$F$11+ROW(A507)-1),":","")*$G$5</f>
        <v>-38.704421492226253</v>
      </c>
      <c r="E508" s="4"/>
      <c r="F508" s="2"/>
      <c r="G508" s="2"/>
      <c r="H508" s="5" t="e">
        <f t="shared" si="22"/>
        <v>#VALUE!</v>
      </c>
      <c r="I508" s="5" t="e">
        <f t="shared" si="23"/>
        <v>#VALUE!</v>
      </c>
      <c r="J508" s="5">
        <f>ROUNDDOWN(INDEX(ログ!S:S,$F$11+ROW(A507)-1) * $F$8,0)</f>
        <v>20</v>
      </c>
    </row>
    <row r="509" spans="1:10">
      <c r="A509" t="str">
        <f>INDEX(ログ!A:A,$F$11+ROW(A508)-1)</f>
        <v xml:space="preserve">  0 :  0  0  4</v>
      </c>
      <c r="B509" s="6">
        <f>INDEX(ログ!N:N,$F$11+ROW(A508)-1)*$G$5</f>
        <v>1.3823007675795089</v>
      </c>
      <c r="C509" s="6">
        <f t="shared" si="24"/>
        <v>-20.04336112990288</v>
      </c>
      <c r="D509" s="6">
        <f>SUBSTITUTE(INDEX(ログ!P:P,$F$11+ROW(A508)-1),":","")*$G$5</f>
        <v>-41.469023027385269</v>
      </c>
      <c r="E509" s="4"/>
      <c r="F509" s="2"/>
      <c r="G509" s="2"/>
      <c r="H509" s="5" t="e">
        <f t="shared" si="22"/>
        <v>#VALUE!</v>
      </c>
      <c r="I509" s="5" t="e">
        <f t="shared" si="23"/>
        <v>#VALUE!</v>
      </c>
      <c r="J509" s="5">
        <f>ROUNDDOWN(INDEX(ログ!S:S,$F$11+ROW(A508)-1) * $F$8,0)</f>
        <v>66</v>
      </c>
    </row>
    <row r="510" spans="1:10">
      <c r="A510" t="str">
        <f>INDEX(ログ!A:A,$F$11+ROW(A509)-1)</f>
        <v>-128 :  0  0  0</v>
      </c>
      <c r="B510" s="6">
        <f>INDEX(ログ!N:N,$F$11+ROW(A509)-1)*$G$5</f>
        <v>0</v>
      </c>
      <c r="C510" s="6" t="e">
        <f t="shared" si="24"/>
        <v>#VALUE!</v>
      </c>
      <c r="D510" s="6" t="e">
        <f>SUBSTITUTE(INDEX(ログ!P:P,$F$11+ROW(A509)-1),":","")*$G$5</f>
        <v>#VALUE!</v>
      </c>
      <c r="E510" s="4"/>
      <c r="F510" s="2"/>
      <c r="G510" s="2"/>
      <c r="H510" s="5" t="e">
        <f t="shared" si="22"/>
        <v>#VALUE!</v>
      </c>
      <c r="I510" s="5" t="e">
        <f t="shared" si="23"/>
        <v>#VALUE!</v>
      </c>
      <c r="J510" s="5">
        <f>ROUNDDOWN(INDEX(ログ!S:S,$F$11+ROW(A509)-1) * $F$8,0)</f>
        <v>0</v>
      </c>
    </row>
    <row r="511" spans="1:10">
      <c r="A511" t="str">
        <f>INDEX(ログ!A:A,$F$11+ROW(A510)-1)</f>
        <v xml:space="preserve">  0 :  0  2 16</v>
      </c>
      <c r="B511" s="6">
        <f>INDEX(ログ!N:N,$F$11+ROW(A510)-1)*$G$5</f>
        <v>19.352210746113126</v>
      </c>
      <c r="C511" s="6">
        <f t="shared" si="24"/>
        <v>15.205308443374598</v>
      </c>
      <c r="D511" s="6">
        <f>SUBSTITUTE(INDEX(ログ!P:P,$F$11+ROW(A510)-1),":","")*$G$5</f>
        <v>11.058406140636071</v>
      </c>
      <c r="E511" s="4"/>
      <c r="F511" s="2"/>
      <c r="G511" s="2"/>
      <c r="H511" s="5" t="e">
        <f t="shared" ref="H511:H574" si="25">H510+(C511*COS(RADIANS(J510)))</f>
        <v>#VALUE!</v>
      </c>
      <c r="I511" s="5" t="e">
        <f t="shared" ref="I511:I574" si="26">I510+(C511*SIN(RADIANS(J510)))</f>
        <v>#VALUE!</v>
      </c>
      <c r="J511" s="5">
        <f>ROUNDDOWN(INDEX(ログ!S:S,$F$11+ROW(A510)-1) * $F$8,0)</f>
        <v>0</v>
      </c>
    </row>
    <row r="512" spans="1:10">
      <c r="A512" t="str">
        <f>INDEX(ログ!A:A,$F$11+ROW(A511)-1)</f>
        <v xml:space="preserve"> 20 :  5  0  0</v>
      </c>
      <c r="B512" s="6">
        <f>INDEX(ログ!N:N,$F$11+ROW(A511)-1)*$G$5</f>
        <v>0</v>
      </c>
      <c r="C512" s="6">
        <f t="shared" si="24"/>
        <v>0</v>
      </c>
      <c r="D512" s="6">
        <f>SUBSTITUTE(INDEX(ログ!P:P,$F$11+ROW(A511)-1),":","")*$G$5</f>
        <v>0</v>
      </c>
      <c r="E512" s="4"/>
      <c r="F512" s="2"/>
      <c r="G512" s="2"/>
      <c r="H512" s="5" t="e">
        <f t="shared" si="25"/>
        <v>#VALUE!</v>
      </c>
      <c r="I512" s="5" t="e">
        <f t="shared" si="26"/>
        <v>#VALUE!</v>
      </c>
      <c r="J512" s="5">
        <f>ROUNDDOWN(INDEX(ログ!S:S,$F$11+ROW(A511)-1) * $F$8,0)</f>
        <v>0</v>
      </c>
    </row>
    <row r="513" spans="1:10">
      <c r="A513" t="str">
        <f>INDEX(ログ!A:A,$F$11+ROW(A512)-1)</f>
        <v>-118 :  2  2 16</v>
      </c>
      <c r="B513" s="6">
        <f>INDEX(ログ!N:N,$F$11+ROW(A512)-1)*$G$5</f>
        <v>1.0367255756846316</v>
      </c>
      <c r="C513" s="6">
        <f t="shared" si="24"/>
        <v>1.9006635554218247</v>
      </c>
      <c r="D513" s="6">
        <f>SUBSTITUTE(INDEX(ログ!P:P,$F$11+ROW(A512)-1),":","")*$G$5</f>
        <v>2.7646015351590179</v>
      </c>
      <c r="E513" s="4"/>
      <c r="F513" s="2"/>
      <c r="G513" s="2"/>
      <c r="H513" s="5" t="e">
        <f t="shared" si="25"/>
        <v>#VALUE!</v>
      </c>
      <c r="I513" s="5" t="e">
        <f t="shared" si="26"/>
        <v>#VALUE!</v>
      </c>
      <c r="J513" s="5">
        <f>ROUNDDOWN(INDEX(ログ!S:S,$F$11+ROW(A512)-1) * $F$8,0)</f>
        <v>0</v>
      </c>
    </row>
    <row r="514" spans="1:10">
      <c r="A514" t="str">
        <f>INDEX(ログ!A:A,$F$11+ROW(A513)-1)</f>
        <v xml:space="preserve"> 32 :  1  2  0</v>
      </c>
      <c r="B514" s="6">
        <f>INDEX(ログ!N:N,$F$11+ROW(A513)-1)*$G$5</f>
        <v>0</v>
      </c>
      <c r="C514" s="6">
        <f t="shared" si="24"/>
        <v>0</v>
      </c>
      <c r="D514" s="6">
        <f>SUBSTITUTE(INDEX(ログ!P:P,$F$11+ROW(A513)-1),":","")*$G$5</f>
        <v>0</v>
      </c>
      <c r="E514" s="4"/>
      <c r="F514" s="2"/>
      <c r="G514" s="2"/>
      <c r="H514" s="5" t="e">
        <f t="shared" si="25"/>
        <v>#VALUE!</v>
      </c>
      <c r="I514" s="5" t="e">
        <f t="shared" si="26"/>
        <v>#VALUE!</v>
      </c>
      <c r="J514" s="5">
        <f>ROUNDDOWN(INDEX(ログ!S:S,$F$11+ROW(A513)-1) * $F$8,0)</f>
        <v>0</v>
      </c>
    </row>
    <row r="515" spans="1:10">
      <c r="A515" t="str">
        <f>INDEX(ログ!A:A,$F$11+ROW(A514)-1)</f>
        <v>-124 :  2  2 25</v>
      </c>
      <c r="B515" s="6">
        <f>INDEX(ログ!N:N,$F$11+ROW(A514)-1)*$G$5</f>
        <v>22.807962665061897</v>
      </c>
      <c r="C515" s="6">
        <f t="shared" si="24"/>
        <v>14.514158059584844</v>
      </c>
      <c r="D515" s="6">
        <f>SUBSTITUTE(INDEX(ログ!P:P,$F$11+ROW(A514)-1),":","")*$G$5</f>
        <v>6.2203534541077898</v>
      </c>
      <c r="E515" s="4"/>
      <c r="F515" s="2"/>
      <c r="G515" s="2"/>
      <c r="H515" s="5" t="e">
        <f t="shared" si="25"/>
        <v>#VALUE!</v>
      </c>
      <c r="I515" s="5" t="e">
        <f t="shared" si="26"/>
        <v>#VALUE!</v>
      </c>
      <c r="J515" s="5">
        <f>ROUNDDOWN(INDEX(ログ!S:S,$F$11+ROW(A514)-1) * $F$8,0)</f>
        <v>0</v>
      </c>
    </row>
    <row r="516" spans="1:10">
      <c r="A516" t="str">
        <f>INDEX(ログ!A:A,$F$11+ROW(A515)-1)</f>
        <v>-111 :  6  6 32</v>
      </c>
      <c r="B516" s="6">
        <f>INDEX(ログ!N:N,$F$11+ROW(A515)-1)*$G$5</f>
        <v>-32.138492846223585</v>
      </c>
      <c r="C516" s="6">
        <f t="shared" si="24"/>
        <v>-15.032520847427161</v>
      </c>
      <c r="D516" s="6">
        <f>SUBSTITUTE(INDEX(ログ!P:P,$F$11+ROW(A515)-1),":","")*$G$5</f>
        <v>2.0734511513692633</v>
      </c>
      <c r="E516" s="4"/>
      <c r="F516" s="2"/>
      <c r="G516" s="2"/>
      <c r="H516" s="5" t="e">
        <f t="shared" si="25"/>
        <v>#VALUE!</v>
      </c>
      <c r="I516" s="5" t="e">
        <f t="shared" si="26"/>
        <v>#VALUE!</v>
      </c>
      <c r="J516" s="5">
        <f>ROUNDDOWN(INDEX(ログ!S:S,$F$11+ROW(A515)-1) * $F$8,0)</f>
        <v>0</v>
      </c>
    </row>
    <row r="517" spans="1:10">
      <c r="A517" t="str">
        <f>INDEX(ログ!A:A,$F$11+ROW(A516)-1)</f>
        <v xml:space="preserve">  9 :  2  2 68</v>
      </c>
      <c r="B517" s="6">
        <f>INDEX(ログ!N:N,$F$11+ROW(A516)-1)*$G$5</f>
        <v>4.4924774946334036</v>
      </c>
      <c r="C517" s="6">
        <f t="shared" ref="C517:C580" si="27">(B517+D517)/2</f>
        <v>-19.697785938008</v>
      </c>
      <c r="D517" s="6">
        <f>SUBSTITUTE(INDEX(ログ!P:P,$F$11+ROW(A516)-1),":","")*$G$5</f>
        <v>-43.888049370649405</v>
      </c>
      <c r="E517" s="4"/>
      <c r="F517" s="2"/>
      <c r="G517" s="2"/>
      <c r="H517" s="5" t="e">
        <f t="shared" si="25"/>
        <v>#VALUE!</v>
      </c>
      <c r="I517" s="5" t="e">
        <f t="shared" si="26"/>
        <v>#VALUE!</v>
      </c>
      <c r="J517" s="5">
        <f>ROUNDDOWN(INDEX(ログ!S:S,$F$11+ROW(A516)-1) * $F$8,0)</f>
        <v>0</v>
      </c>
    </row>
    <row r="518" spans="1:10">
      <c r="A518" t="str">
        <f>INDEX(ログ!A:A,$F$11+ROW(A517)-1)</f>
        <v xml:space="preserve">  4 :  0  2  1</v>
      </c>
      <c r="B518" s="6">
        <f>INDEX(ログ!N:N,$F$11+ROW(A517)-1)*$G$5</f>
        <v>0</v>
      </c>
      <c r="C518" s="6">
        <f t="shared" si="27"/>
        <v>0.69115038378975446</v>
      </c>
      <c r="D518" s="6">
        <f>SUBSTITUTE(INDEX(ログ!P:P,$F$11+ROW(A517)-1),":","")*$G$5</f>
        <v>1.3823007675795089</v>
      </c>
      <c r="E518" s="4"/>
      <c r="F518" s="2"/>
      <c r="G518" s="2"/>
      <c r="H518" s="5" t="e">
        <f t="shared" si="25"/>
        <v>#VALUE!</v>
      </c>
      <c r="I518" s="5" t="e">
        <f t="shared" si="26"/>
        <v>#VALUE!</v>
      </c>
      <c r="J518" s="5">
        <f>ROUNDDOWN(INDEX(ログ!S:S,$F$11+ROW(A517)-1) * $F$8,0)</f>
        <v>0</v>
      </c>
    </row>
    <row r="519" spans="1:10">
      <c r="A519" t="str">
        <f>INDEX(ログ!A:A,$F$11+ROW(A518)-1)</f>
        <v xml:space="preserve"> 64 :  8  0 128</v>
      </c>
      <c r="B519" s="6">
        <f>INDEX(ログ!N:N,$F$11+ROW(A518)-1)*$G$5</f>
        <v>33.175218421908212</v>
      </c>
      <c r="C519" s="6">
        <f t="shared" si="27"/>
        <v>17.105971998796424</v>
      </c>
      <c r="D519" s="6">
        <f>SUBSTITUTE(INDEX(ログ!P:P,$F$11+ROW(A518)-1),":","")*$G$5</f>
        <v>1.0367255756846316</v>
      </c>
      <c r="E519" s="4"/>
      <c r="F519" s="2"/>
      <c r="G519" s="2"/>
      <c r="H519" s="5" t="e">
        <f t="shared" si="25"/>
        <v>#VALUE!</v>
      </c>
      <c r="I519" s="5" t="e">
        <f t="shared" si="26"/>
        <v>#VALUE!</v>
      </c>
      <c r="J519" s="5">
        <f>ROUNDDOWN(INDEX(ログ!S:S,$F$11+ROW(A518)-1) * $F$8,0)</f>
        <v>0</v>
      </c>
    </row>
    <row r="520" spans="1:10">
      <c r="A520" t="str">
        <f>INDEX(ログ!A:A,$F$11+ROW(A519)-1)</f>
        <v xml:space="preserve"> 33 :  2  4 129</v>
      </c>
      <c r="B520" s="6">
        <f>INDEX(ログ!N:N,$F$11+ROW(A519)-1)*$G$5</f>
        <v>0</v>
      </c>
      <c r="C520" s="6">
        <f t="shared" si="27"/>
        <v>0.575958653158129</v>
      </c>
      <c r="D520" s="6">
        <f>SUBSTITUTE(INDEX(ログ!P:P,$F$11+ROW(A519)-1),":","")*$G$5</f>
        <v>1.151917306316258</v>
      </c>
      <c r="E520" s="4"/>
      <c r="F520" s="2"/>
      <c r="G520" s="2"/>
      <c r="H520" s="5" t="e">
        <f t="shared" si="25"/>
        <v>#VALUE!</v>
      </c>
      <c r="I520" s="5" t="e">
        <f t="shared" si="26"/>
        <v>#VALUE!</v>
      </c>
      <c r="J520" s="5">
        <f>ROUNDDOWN(INDEX(ログ!S:S,$F$11+ROW(A519)-1) * $F$8,0)</f>
        <v>0</v>
      </c>
    </row>
    <row r="521" spans="1:10">
      <c r="A521" t="str">
        <f>INDEX(ログ!A:A,$F$11+ROW(A520)-1)</f>
        <v>-95 :  3  2  0</v>
      </c>
      <c r="B521" s="6">
        <f>INDEX(ログ!N:N,$F$11+ROW(A520)-1)*$G$5</f>
        <v>13.82300767579509</v>
      </c>
      <c r="C521" s="6">
        <f t="shared" si="27"/>
        <v>-4.1469023027385266</v>
      </c>
      <c r="D521" s="6">
        <f>SUBSTITUTE(INDEX(ログ!P:P,$F$11+ROW(A520)-1),":","")*$G$5</f>
        <v>-22.116812281272143</v>
      </c>
      <c r="E521" s="4"/>
      <c r="F521" s="2"/>
      <c r="G521" s="2"/>
      <c r="H521" s="5" t="e">
        <f t="shared" si="25"/>
        <v>#VALUE!</v>
      </c>
      <c r="I521" s="5" t="e">
        <f t="shared" si="26"/>
        <v>#VALUE!</v>
      </c>
      <c r="J521" s="5">
        <f>ROUNDDOWN(INDEX(ログ!S:S,$F$11+ROW(A520)-1) * $F$8,0)</f>
        <v>0</v>
      </c>
    </row>
    <row r="522" spans="1:10">
      <c r="A522" t="str">
        <f>INDEX(ログ!A:A,$F$11+ROW(A521)-1)</f>
        <v>-96 :  8  0 32</v>
      </c>
      <c r="B522" s="6">
        <f>INDEX(ログ!N:N,$F$11+ROW(A521)-1)*$G$5</f>
        <v>5.5292030703180357</v>
      </c>
      <c r="C522" s="6">
        <f t="shared" si="27"/>
        <v>3.2829643230013339</v>
      </c>
      <c r="D522" s="6">
        <f>SUBSTITUTE(INDEX(ログ!P:P,$F$11+ROW(A521)-1),":","")*$G$5</f>
        <v>1.0367255756846316</v>
      </c>
      <c r="E522" s="4"/>
      <c r="F522" s="2"/>
      <c r="G522" s="2"/>
      <c r="H522" s="5" t="e">
        <f t="shared" si="25"/>
        <v>#VALUE!</v>
      </c>
      <c r="I522" s="5" t="e">
        <f t="shared" si="26"/>
        <v>#VALUE!</v>
      </c>
      <c r="J522" s="5">
        <f>ROUNDDOWN(INDEX(ログ!S:S,$F$11+ROW(A521)-1) * $F$8,0)</f>
        <v>0</v>
      </c>
    </row>
    <row r="523" spans="1:10">
      <c r="A523" t="str">
        <f>INDEX(ログ!A:A,$F$11+ROW(A522)-1)</f>
        <v xml:space="preserve"> 17 :  0 10 130</v>
      </c>
      <c r="B523" s="6">
        <f>INDEX(ログ!N:N,$F$11+ROW(A522)-1)*$G$5</f>
        <v>29.028316119169688</v>
      </c>
      <c r="C523" s="6">
        <f t="shared" si="27"/>
        <v>20.388936321797758</v>
      </c>
      <c r="D523" s="6">
        <f>SUBSTITUTE(INDEX(ログ!P:P,$F$11+ROW(A522)-1),":","")*$G$5</f>
        <v>11.749556524425826</v>
      </c>
      <c r="E523" s="4"/>
      <c r="F523" s="2"/>
      <c r="G523" s="2"/>
      <c r="H523" s="5" t="e">
        <f t="shared" si="25"/>
        <v>#VALUE!</v>
      </c>
      <c r="I523" s="5" t="e">
        <f t="shared" si="26"/>
        <v>#VALUE!</v>
      </c>
      <c r="J523" s="5">
        <f>ROUNDDOWN(INDEX(ログ!S:S,$F$11+ROW(A522)-1) * $F$8,0)</f>
        <v>0</v>
      </c>
    </row>
    <row r="524" spans="1:10">
      <c r="A524" t="str">
        <f>INDEX(ログ!A:A,$F$11+ROW(A523)-1)</f>
        <v xml:space="preserve"> 36 :  2  2  0</v>
      </c>
      <c r="B524" s="6">
        <f>INDEX(ログ!N:N,$F$11+ROW(A523)-1)*$G$5</f>
        <v>7.2570790297924219</v>
      </c>
      <c r="C524" s="6">
        <f t="shared" si="27"/>
        <v>9.1577425852142476</v>
      </c>
      <c r="D524" s="6">
        <f>SUBSTITUTE(INDEX(ログ!P:P,$F$11+ROW(A523)-1),":","")*$G$5</f>
        <v>11.058406140636071</v>
      </c>
      <c r="E524" s="4"/>
      <c r="F524" s="2"/>
      <c r="G524" s="2"/>
      <c r="H524" s="5" t="e">
        <f t="shared" si="25"/>
        <v>#VALUE!</v>
      </c>
      <c r="I524" s="5" t="e">
        <f t="shared" si="26"/>
        <v>#VALUE!</v>
      </c>
      <c r="J524" s="5">
        <f>ROUNDDOWN(INDEX(ログ!S:S,$F$11+ROW(A523)-1) * $F$8,0)</f>
        <v>0</v>
      </c>
    </row>
    <row r="525" spans="1:10">
      <c r="A525" t="str">
        <f>INDEX(ログ!A:A,$F$11+ROW(A524)-1)</f>
        <v xml:space="preserve">  1 :  2 10 64</v>
      </c>
      <c r="B525" s="6">
        <f>INDEX(ログ!N:N,$F$11+ROW(A524)-1)*$G$5</f>
        <v>22.116812281272143</v>
      </c>
      <c r="C525" s="6">
        <f t="shared" si="27"/>
        <v>14.341370463637405</v>
      </c>
      <c r="D525" s="6">
        <f>SUBSTITUTE(INDEX(ログ!P:P,$F$11+ROW(A524)-1),":","")*$G$5</f>
        <v>6.5659286460026678</v>
      </c>
      <c r="E525" s="4"/>
      <c r="F525" s="2"/>
      <c r="G525" s="2"/>
      <c r="H525" s="5" t="e">
        <f t="shared" si="25"/>
        <v>#VALUE!</v>
      </c>
      <c r="I525" s="5" t="e">
        <f t="shared" si="26"/>
        <v>#VALUE!</v>
      </c>
      <c r="J525" s="5">
        <f>ROUNDDOWN(INDEX(ログ!S:S,$F$11+ROW(A524)-1) * $F$8,0)</f>
        <v>0</v>
      </c>
    </row>
    <row r="526" spans="1:10">
      <c r="A526" t="str">
        <f>INDEX(ログ!A:A,$F$11+ROW(A525)-1)</f>
        <v>-128 :  0  3 32</v>
      </c>
      <c r="B526" s="6">
        <f>INDEX(ログ!N:N,$F$11+ROW(A525)-1)*$G$5</f>
        <v>-44.233624562544286</v>
      </c>
      <c r="C526" s="6">
        <f t="shared" si="27"/>
        <v>-22.116812281272143</v>
      </c>
      <c r="D526" s="6">
        <f>SUBSTITUTE(INDEX(ログ!P:P,$F$11+ROW(A525)-1),":","")*$G$5</f>
        <v>0</v>
      </c>
      <c r="E526" s="4"/>
      <c r="F526" s="2"/>
      <c r="G526" s="2"/>
      <c r="H526" s="5" t="e">
        <f t="shared" si="25"/>
        <v>#VALUE!</v>
      </c>
      <c r="I526" s="5" t="e">
        <f t="shared" si="26"/>
        <v>#VALUE!</v>
      </c>
      <c r="J526" s="5">
        <f>ROUNDDOWN(INDEX(ログ!S:S,$F$11+ROW(A525)-1) * $F$8,0)</f>
        <v>0</v>
      </c>
    </row>
    <row r="527" spans="1:10">
      <c r="A527" t="str">
        <f>INDEX(ログ!A:A,$F$11+ROW(A526)-1)</f>
        <v xml:space="preserve"> 48 :  2  3 128</v>
      </c>
      <c r="B527" s="6">
        <f>INDEX(ログ!N:N,$F$11+ROW(A526)-1)*$G$5</f>
        <v>2.7646015351590179</v>
      </c>
      <c r="C527" s="6">
        <f t="shared" si="27"/>
        <v>1.8430676901060117</v>
      </c>
      <c r="D527" s="6">
        <f>SUBSTITUTE(INDEX(ログ!P:P,$F$11+ROW(A526)-1),":","")*$G$5</f>
        <v>0.9215338450530054</v>
      </c>
      <c r="E527" s="4"/>
      <c r="F527" s="2"/>
      <c r="G527" s="2"/>
      <c r="H527" s="5" t="e">
        <f t="shared" si="25"/>
        <v>#VALUE!</v>
      </c>
      <c r="I527" s="5" t="e">
        <f t="shared" si="26"/>
        <v>#VALUE!</v>
      </c>
      <c r="J527" s="5">
        <f>ROUNDDOWN(INDEX(ログ!S:S,$F$11+ROW(A526)-1) * $F$8,0)</f>
        <v>0</v>
      </c>
    </row>
    <row r="528" spans="1:10">
      <c r="A528" t="str">
        <f>INDEX(ログ!A:A,$F$11+ROW(A527)-1)</f>
        <v xml:space="preserve">  0 : 12  0  0</v>
      </c>
      <c r="B528" s="6">
        <f>INDEX(ログ!N:N,$F$11+ROW(A527)-1)*$G$5</f>
        <v>-40.777872643595515</v>
      </c>
      <c r="C528" s="6">
        <f t="shared" si="27"/>
        <v>-17.624334786638741</v>
      </c>
      <c r="D528" s="6">
        <f>SUBSTITUTE(INDEX(ログ!P:P,$F$11+ROW(A527)-1),":","")*$G$5</f>
        <v>5.5292030703180357</v>
      </c>
      <c r="E528" s="4"/>
      <c r="F528" s="2"/>
      <c r="G528" s="2"/>
      <c r="H528" s="5" t="e">
        <f t="shared" si="25"/>
        <v>#VALUE!</v>
      </c>
      <c r="I528" s="5" t="e">
        <f t="shared" si="26"/>
        <v>#VALUE!</v>
      </c>
      <c r="J528" s="5">
        <f>ROUNDDOWN(INDEX(ログ!S:S,$F$11+ROW(A527)-1) * $F$8,0)</f>
        <v>0</v>
      </c>
    </row>
    <row r="529" spans="1:10">
      <c r="A529" t="str">
        <f>INDEX(ログ!A:A,$F$11+ROW(A528)-1)</f>
        <v xml:space="preserve">  2 :  0  2  9</v>
      </c>
      <c r="B529" s="6">
        <f>INDEX(ログ!N:N,$F$11+ROW(A528)-1)*$G$5</f>
        <v>0.34557519189487723</v>
      </c>
      <c r="C529" s="6">
        <f t="shared" si="27"/>
        <v>5.7019906662654742</v>
      </c>
      <c r="D529" s="6">
        <f>SUBSTITUTE(INDEX(ログ!P:P,$F$11+ROW(A528)-1),":","")*$G$5</f>
        <v>11.058406140636071</v>
      </c>
      <c r="E529" s="4"/>
      <c r="F529" s="2"/>
      <c r="G529" s="2"/>
      <c r="H529" s="5" t="e">
        <f t="shared" si="25"/>
        <v>#VALUE!</v>
      </c>
      <c r="I529" s="5" t="e">
        <f t="shared" si="26"/>
        <v>#VALUE!</v>
      </c>
      <c r="J529" s="5">
        <f>ROUNDDOWN(INDEX(ログ!S:S,$F$11+ROW(A528)-1) * $F$8,0)</f>
        <v>0</v>
      </c>
    </row>
    <row r="530" spans="1:10">
      <c r="A530" t="str">
        <f>INDEX(ログ!A:A,$F$11+ROW(A529)-1)</f>
        <v xml:space="preserve"> 34 :  0  2  0</v>
      </c>
      <c r="B530" s="6">
        <f>INDEX(ログ!N:N,$F$11+ROW(A529)-1)*$G$5</f>
        <v>5.8747782622129128</v>
      </c>
      <c r="C530" s="6">
        <f t="shared" si="27"/>
        <v>3.3981560536329591</v>
      </c>
      <c r="D530" s="6">
        <f>SUBSTITUTE(INDEX(ログ!P:P,$F$11+ROW(A529)-1),":","")*$G$5</f>
        <v>0.9215338450530054</v>
      </c>
      <c r="E530" s="4"/>
      <c r="F530" s="2"/>
      <c r="G530" s="2"/>
      <c r="H530" s="5" t="e">
        <f t="shared" si="25"/>
        <v>#VALUE!</v>
      </c>
      <c r="I530" s="5" t="e">
        <f t="shared" si="26"/>
        <v>#VALUE!</v>
      </c>
      <c r="J530" s="5">
        <f>ROUNDDOWN(INDEX(ログ!S:S,$F$11+ROW(A529)-1) * $F$8,0)</f>
        <v>0</v>
      </c>
    </row>
    <row r="531" spans="1:10">
      <c r="A531" t="str">
        <f>INDEX(ログ!A:A,$F$11+ROW(A530)-1)</f>
        <v xml:space="preserve">  0 :  2  0  2</v>
      </c>
      <c r="B531" s="6">
        <f>INDEX(ログ!N:N,$F$11+ROW(A530)-1)*$G$5</f>
        <v>0</v>
      </c>
      <c r="C531" s="6">
        <f t="shared" si="27"/>
        <v>2.2462387473167018</v>
      </c>
      <c r="D531" s="6">
        <f>SUBSTITUTE(INDEX(ログ!P:P,$F$11+ROW(A530)-1),":","")*$G$5</f>
        <v>4.4924774946334036</v>
      </c>
      <c r="E531" s="4"/>
      <c r="F531" s="2"/>
      <c r="G531" s="2"/>
      <c r="H531" s="5" t="e">
        <f t="shared" si="25"/>
        <v>#VALUE!</v>
      </c>
      <c r="I531" s="5" t="e">
        <f t="shared" si="26"/>
        <v>#VALUE!</v>
      </c>
      <c r="J531" s="5">
        <f>ROUNDDOWN(INDEX(ログ!S:S,$F$11+ROW(A530)-1) * $F$8,0)</f>
        <v>0</v>
      </c>
    </row>
    <row r="532" spans="1:10">
      <c r="A532" t="str">
        <f>INDEX(ログ!A:A,$F$11+ROW(A531)-1)</f>
        <v xml:space="preserve"> 42 :  2  0 16</v>
      </c>
      <c r="B532" s="6">
        <f>INDEX(ログ!N:N,$F$11+ROW(A531)-1)*$G$5</f>
        <v>23.499113048851651</v>
      </c>
      <c r="C532" s="6">
        <f t="shared" si="27"/>
        <v>14.686945655532282</v>
      </c>
      <c r="D532" s="6">
        <f>SUBSTITUTE(INDEX(ログ!P:P,$F$11+ROW(A531)-1),":","")*$G$5</f>
        <v>5.8747782622129128</v>
      </c>
      <c r="E532" s="4"/>
      <c r="F532" s="2"/>
      <c r="G532" s="2"/>
      <c r="H532" s="5" t="e">
        <f t="shared" si="25"/>
        <v>#VALUE!</v>
      </c>
      <c r="I532" s="5" t="e">
        <f t="shared" si="26"/>
        <v>#VALUE!</v>
      </c>
      <c r="J532" s="5">
        <f>ROUNDDOWN(INDEX(ログ!S:S,$F$11+ROW(A531)-1) * $F$8,0)</f>
        <v>0</v>
      </c>
    </row>
    <row r="533" spans="1:10">
      <c r="A533" t="str">
        <f>INDEX(ログ!A:A,$F$11+ROW(A532)-1)</f>
        <v xml:space="preserve"> 42 :  2  8 64</v>
      </c>
      <c r="B533" s="6">
        <f>INDEX(ログ!N:N,$F$11+ROW(A532)-1)*$G$5</f>
        <v>22.116812281272143</v>
      </c>
      <c r="C533" s="6">
        <f t="shared" si="27"/>
        <v>-7.4298666257398605</v>
      </c>
      <c r="D533" s="6">
        <f>SUBSTITUTE(INDEX(ログ!P:P,$F$11+ROW(A532)-1),":","")*$G$5</f>
        <v>-36.976545532751864</v>
      </c>
      <c r="E533" s="4"/>
      <c r="F533" s="2"/>
      <c r="G533" s="2"/>
      <c r="H533" s="5" t="e">
        <f t="shared" si="25"/>
        <v>#VALUE!</v>
      </c>
      <c r="I533" s="5" t="e">
        <f t="shared" si="26"/>
        <v>#VALUE!</v>
      </c>
      <c r="J533" s="5">
        <f>ROUNDDOWN(INDEX(ログ!S:S,$F$11+ROW(A532)-1) * $F$8,0)</f>
        <v>0</v>
      </c>
    </row>
    <row r="534" spans="1:10">
      <c r="A534" t="str">
        <f>INDEX(ログ!A:A,$F$11+ROW(A533)-1)</f>
        <v xml:space="preserve">  1 :  0  2  0</v>
      </c>
      <c r="B534" s="6">
        <f>INDEX(ログ!N:N,$F$11+ROW(A533)-1)*$G$5</f>
        <v>0</v>
      </c>
      <c r="C534" s="6">
        <f t="shared" si="27"/>
        <v>0.34557519189487723</v>
      </c>
      <c r="D534" s="6">
        <f>SUBSTITUTE(INDEX(ログ!P:P,$F$11+ROW(A533)-1),":","")*$G$5</f>
        <v>0.69115038378975446</v>
      </c>
      <c r="E534" s="4"/>
      <c r="F534" s="2"/>
      <c r="G534" s="2"/>
      <c r="H534" s="5" t="e">
        <f t="shared" si="25"/>
        <v>#VALUE!</v>
      </c>
      <c r="I534" s="5" t="e">
        <f t="shared" si="26"/>
        <v>#VALUE!</v>
      </c>
      <c r="J534" s="5">
        <f>ROUNDDOWN(INDEX(ログ!S:S,$F$11+ROW(A533)-1) * $F$8,0)</f>
        <v>0</v>
      </c>
    </row>
    <row r="535" spans="1:10">
      <c r="A535" t="str">
        <f>INDEX(ログ!A:A,$F$11+ROW(A534)-1)</f>
        <v xml:space="preserve">  4 :  8  2  0</v>
      </c>
      <c r="B535" s="6">
        <f>INDEX(ログ!N:N,$F$11+ROW(A534)-1)*$G$5</f>
        <v>0</v>
      </c>
      <c r="C535" s="6">
        <f t="shared" si="27"/>
        <v>0</v>
      </c>
      <c r="D535" s="6">
        <f>SUBSTITUTE(INDEX(ログ!P:P,$F$11+ROW(A534)-1),":","")*$G$5</f>
        <v>0</v>
      </c>
      <c r="E535" s="4"/>
      <c r="F535" s="2"/>
      <c r="G535" s="2"/>
      <c r="H535" s="5" t="e">
        <f t="shared" si="25"/>
        <v>#VALUE!</v>
      </c>
      <c r="I535" s="5" t="e">
        <f t="shared" si="26"/>
        <v>#VALUE!</v>
      </c>
      <c r="J535" s="5">
        <f>ROUNDDOWN(INDEX(ログ!S:S,$F$11+ROW(A534)-1) * $F$8,0)</f>
        <v>0</v>
      </c>
    </row>
    <row r="536" spans="1:10">
      <c r="A536" t="str">
        <f>INDEX(ログ!A:A,$F$11+ROW(A535)-1)</f>
        <v xml:space="preserve">  0 :  3  2 10</v>
      </c>
      <c r="B536" s="6">
        <f>INDEX(ログ!N:N,$F$11+ROW(A535)-1)*$G$5</f>
        <v>6.2203534541077898</v>
      </c>
      <c r="C536" s="6">
        <f t="shared" si="27"/>
        <v>8.9849549892668072</v>
      </c>
      <c r="D536" s="6">
        <f>SUBSTITUTE(INDEX(ログ!P:P,$F$11+ROW(A535)-1),":","")*$G$5</f>
        <v>11.749556524425826</v>
      </c>
      <c r="E536" s="4"/>
      <c r="F536" s="2"/>
      <c r="G536" s="2"/>
      <c r="H536" s="5" t="e">
        <f t="shared" si="25"/>
        <v>#VALUE!</v>
      </c>
      <c r="I536" s="5" t="e">
        <f t="shared" si="26"/>
        <v>#VALUE!</v>
      </c>
      <c r="J536" s="5">
        <f>ROUNDDOWN(INDEX(ログ!S:S,$F$11+ROW(A535)-1) * $F$8,0)</f>
        <v>0</v>
      </c>
    </row>
    <row r="537" spans="1:10">
      <c r="A537" t="str">
        <f>INDEX(ログ!A:A,$F$11+ROW(A536)-1)</f>
        <v xml:space="preserve"> 16 :  0 10  0</v>
      </c>
      <c r="B537" s="6">
        <f>INDEX(ログ!N:N,$F$11+ROW(A536)-1)*$G$5</f>
        <v>35.939819957067229</v>
      </c>
      <c r="C537" s="6">
        <f t="shared" si="27"/>
        <v>18.574666564349648</v>
      </c>
      <c r="D537" s="6">
        <f>SUBSTITUTE(INDEX(ログ!P:P,$F$11+ROW(A536)-1),":","")*$G$5</f>
        <v>1.2095131716320704</v>
      </c>
      <c r="E537" s="4"/>
      <c r="F537" s="2"/>
      <c r="G537" s="2"/>
      <c r="H537" s="5" t="e">
        <f t="shared" si="25"/>
        <v>#VALUE!</v>
      </c>
      <c r="I537" s="5" t="e">
        <f t="shared" si="26"/>
        <v>#VALUE!</v>
      </c>
      <c r="J537" s="5">
        <f>ROUNDDOWN(INDEX(ログ!S:S,$F$11+ROW(A536)-1) * $F$8,0)</f>
        <v>0</v>
      </c>
    </row>
    <row r="538" spans="1:10">
      <c r="A538" t="str">
        <f>INDEX(ログ!A:A,$F$11+ROW(A537)-1)</f>
        <v xml:space="preserve">  0 :  0  2 24</v>
      </c>
      <c r="B538" s="6">
        <f>INDEX(ログ!N:N,$F$11+ROW(A537)-1)*$G$5</f>
        <v>1.3823007675795089</v>
      </c>
      <c r="C538" s="6">
        <f t="shared" si="27"/>
        <v>5.1836278784231578</v>
      </c>
      <c r="D538" s="6">
        <f>SUBSTITUTE(INDEX(ログ!P:P,$F$11+ROW(A537)-1),":","")*$G$5</f>
        <v>8.9849549892668072</v>
      </c>
      <c r="E538" s="4"/>
      <c r="F538" s="2"/>
      <c r="G538" s="2"/>
      <c r="H538" s="5" t="e">
        <f t="shared" si="25"/>
        <v>#VALUE!</v>
      </c>
      <c r="I538" s="5" t="e">
        <f t="shared" si="26"/>
        <v>#VALUE!</v>
      </c>
      <c r="J538" s="5">
        <f>ROUNDDOWN(INDEX(ログ!S:S,$F$11+ROW(A537)-1) * $F$8,0)</f>
        <v>0</v>
      </c>
    </row>
    <row r="539" spans="1:10">
      <c r="A539" t="str">
        <f>INDEX(ログ!A:A,$F$11+ROW(A538)-1)</f>
        <v>-128 :  8  2  0</v>
      </c>
      <c r="B539" s="6">
        <f>INDEX(ログ!N:N,$F$11+ROW(A538)-1)*$G$5</f>
        <v>11.058406140636071</v>
      </c>
      <c r="C539" s="6">
        <f t="shared" si="27"/>
        <v>11.749556524425826</v>
      </c>
      <c r="D539" s="6">
        <f>SUBSTITUTE(INDEX(ログ!P:P,$F$11+ROW(A538)-1),":","")*$G$5</f>
        <v>12.44070690821558</v>
      </c>
      <c r="E539" s="4"/>
      <c r="F539" s="2"/>
      <c r="G539" s="2"/>
      <c r="H539" s="5" t="e">
        <f t="shared" si="25"/>
        <v>#VALUE!</v>
      </c>
      <c r="I539" s="5" t="e">
        <f t="shared" si="26"/>
        <v>#VALUE!</v>
      </c>
      <c r="J539" s="5">
        <f>ROUNDDOWN(INDEX(ログ!S:S,$F$11+ROW(A538)-1) * $F$8,0)</f>
        <v>0</v>
      </c>
    </row>
    <row r="540" spans="1:10">
      <c r="A540" t="str">
        <f>INDEX(ログ!A:A,$F$11+ROW(A539)-1)</f>
        <v xml:space="preserve">  0 : 11  2  0</v>
      </c>
      <c r="B540" s="6">
        <f>INDEX(ログ!N:N,$F$11+ROW(A539)-1)*$G$5</f>
        <v>0</v>
      </c>
      <c r="C540" s="6">
        <f t="shared" si="27"/>
        <v>-11.058406140636071</v>
      </c>
      <c r="D540" s="6">
        <f>SUBSTITUTE(INDEX(ログ!P:P,$F$11+ROW(A539)-1),":","")*$G$5</f>
        <v>-22.116812281272143</v>
      </c>
      <c r="E540" s="4"/>
      <c r="F540" s="2"/>
      <c r="G540" s="2"/>
      <c r="H540" s="5" t="e">
        <f t="shared" si="25"/>
        <v>#VALUE!</v>
      </c>
      <c r="I540" s="5" t="e">
        <f t="shared" si="26"/>
        <v>#VALUE!</v>
      </c>
      <c r="J540" s="5">
        <f>ROUNDDOWN(INDEX(ログ!S:S,$F$11+ROW(A539)-1) * $F$8,0)</f>
        <v>0</v>
      </c>
    </row>
    <row r="541" spans="1:10">
      <c r="A541" t="str">
        <f>INDEX(ログ!A:A,$F$11+ROW(A540)-1)</f>
        <v xml:space="preserve"> 96 :  1  0 128</v>
      </c>
      <c r="B541" s="6">
        <f>INDEX(ログ!N:N,$F$11+ROW(A540)-1)*$G$5</f>
        <v>2.7646015351590179</v>
      </c>
      <c r="C541" s="6">
        <f t="shared" si="27"/>
        <v>1.8430676901060117</v>
      </c>
      <c r="D541" s="6">
        <f>SUBSTITUTE(INDEX(ログ!P:P,$F$11+ROW(A540)-1),":","")*$G$5</f>
        <v>0.9215338450530054</v>
      </c>
      <c r="E541" s="4"/>
      <c r="F541" s="2"/>
      <c r="G541" s="2"/>
      <c r="H541" s="5" t="e">
        <f t="shared" si="25"/>
        <v>#VALUE!</v>
      </c>
      <c r="I541" s="5" t="e">
        <f t="shared" si="26"/>
        <v>#VALUE!</v>
      </c>
      <c r="J541" s="5">
        <f>ROUNDDOWN(INDEX(ログ!S:S,$F$11+ROW(A540)-1) * $F$8,0)</f>
        <v>0</v>
      </c>
    </row>
    <row r="542" spans="1:10">
      <c r="A542" t="str">
        <f>INDEX(ログ!A:A,$F$11+ROW(A541)-1)</f>
        <v xml:space="preserve">  9 :  8  0  0</v>
      </c>
      <c r="B542" s="6">
        <f>INDEX(ログ!N:N,$F$11+ROW(A541)-1)*$G$5</f>
        <v>0</v>
      </c>
      <c r="C542" s="6">
        <f t="shared" si="27"/>
        <v>0</v>
      </c>
      <c r="D542" s="6">
        <f>SUBSTITUTE(INDEX(ログ!P:P,$F$11+ROW(A541)-1),":","")*$G$5</f>
        <v>0</v>
      </c>
      <c r="E542" s="4"/>
      <c r="F542" s="2"/>
      <c r="G542" s="2"/>
      <c r="H542" s="5" t="e">
        <f t="shared" si="25"/>
        <v>#VALUE!</v>
      </c>
      <c r="I542" s="5" t="e">
        <f t="shared" si="26"/>
        <v>#VALUE!</v>
      </c>
      <c r="J542" s="5">
        <f>ROUNDDOWN(INDEX(ログ!S:S,$F$11+ROW(A541)-1) * $F$8,0)</f>
        <v>0</v>
      </c>
    </row>
    <row r="543" spans="1:10">
      <c r="A543" t="str">
        <f>INDEX(ログ!A:A,$F$11+ROW(A542)-1)</f>
        <v xml:space="preserve"> 98 :  2  0  8</v>
      </c>
      <c r="B543" s="6">
        <f>INDEX(ログ!N:N,$F$11+ROW(A542)-1)*$G$5</f>
        <v>-21.080086705587512</v>
      </c>
      <c r="C543" s="6">
        <f t="shared" si="27"/>
        <v>-26.436502179958108</v>
      </c>
      <c r="D543" s="6">
        <f>SUBSTITUTE(INDEX(ログ!P:P,$F$11+ROW(A542)-1),":","")*$G$5</f>
        <v>-31.792917654328704</v>
      </c>
      <c r="E543" s="4"/>
      <c r="F543" s="2"/>
      <c r="G543" s="2"/>
      <c r="H543" s="5" t="e">
        <f t="shared" si="25"/>
        <v>#VALUE!</v>
      </c>
      <c r="I543" s="5" t="e">
        <f t="shared" si="26"/>
        <v>#VALUE!</v>
      </c>
      <c r="J543" s="5">
        <f>ROUNDDOWN(INDEX(ログ!S:S,$F$11+ROW(A542)-1) * $F$8,0)</f>
        <v>0</v>
      </c>
    </row>
    <row r="544" spans="1:10">
      <c r="A544" t="str">
        <f>INDEX(ログ!A:A,$F$11+ROW(A543)-1)</f>
        <v>-80 :  0  0 129</v>
      </c>
      <c r="B544" s="6">
        <f>INDEX(ログ!N:N,$F$11+ROW(A543)-1)*$G$5</f>
        <v>33.175218421908212</v>
      </c>
      <c r="C544" s="6">
        <f t="shared" si="27"/>
        <v>20.907299109640071</v>
      </c>
      <c r="D544" s="6">
        <f>SUBSTITUTE(INDEX(ログ!P:P,$F$11+ROW(A543)-1),":","")*$G$5</f>
        <v>8.6393797973719302</v>
      </c>
      <c r="E544" s="4"/>
      <c r="F544" s="2"/>
      <c r="G544" s="2"/>
      <c r="H544" s="5" t="e">
        <f t="shared" si="25"/>
        <v>#VALUE!</v>
      </c>
      <c r="I544" s="5" t="e">
        <f t="shared" si="26"/>
        <v>#VALUE!</v>
      </c>
      <c r="J544" s="5">
        <f>ROUNDDOWN(INDEX(ログ!S:S,$F$11+ROW(A543)-1) * $F$8,0)</f>
        <v>0</v>
      </c>
    </row>
    <row r="545" spans="1:10">
      <c r="A545" t="str">
        <f>INDEX(ログ!A:A,$F$11+ROW(A544)-1)</f>
        <v xml:space="preserve"> 42 :  2  0 170</v>
      </c>
      <c r="B545" s="6">
        <f>INDEX(ログ!N:N,$F$11+ROW(A544)-1)*$G$5</f>
        <v>30.410616886749196</v>
      </c>
      <c r="C545" s="6">
        <f t="shared" si="27"/>
        <v>15.673274849065578</v>
      </c>
      <c r="D545" s="6">
        <f>SUBSTITUTE(INDEX(ログ!P:P,$F$11+ROW(A544)-1),":","")*$G$5</f>
        <v>0.93593281138195972</v>
      </c>
      <c r="E545" s="4"/>
      <c r="F545" s="2"/>
      <c r="G545" s="2"/>
      <c r="H545" s="5" t="e">
        <f t="shared" si="25"/>
        <v>#VALUE!</v>
      </c>
      <c r="I545" s="5" t="e">
        <f t="shared" si="26"/>
        <v>#VALUE!</v>
      </c>
      <c r="J545" s="5">
        <f>ROUNDDOWN(INDEX(ログ!S:S,$F$11+ROW(A544)-1) * $F$8,0)</f>
        <v>0</v>
      </c>
    </row>
    <row r="546" spans="1:10">
      <c r="A546" t="str">
        <f>INDEX(ログ!A:A,$F$11+ROW(A545)-1)</f>
        <v xml:space="preserve">  0 :  4  0  1</v>
      </c>
      <c r="B546" s="6">
        <f>INDEX(ログ!N:N,$F$11+ROW(A545)-1)*$G$5</f>
        <v>0</v>
      </c>
      <c r="C546" s="6">
        <f t="shared" si="27"/>
        <v>3.2829643230013339</v>
      </c>
      <c r="D546" s="6">
        <f>SUBSTITUTE(INDEX(ログ!P:P,$F$11+ROW(A545)-1),":","")*$G$5</f>
        <v>6.5659286460026678</v>
      </c>
      <c r="E546" s="4"/>
      <c r="F546" s="2"/>
      <c r="G546" s="2"/>
      <c r="H546" s="5" t="e">
        <f t="shared" si="25"/>
        <v>#VALUE!</v>
      </c>
      <c r="I546" s="5" t="e">
        <f t="shared" si="26"/>
        <v>#VALUE!</v>
      </c>
      <c r="J546" s="5">
        <f>ROUNDDOWN(INDEX(ログ!S:S,$F$11+ROW(A545)-1) * $F$8,0)</f>
        <v>0</v>
      </c>
    </row>
    <row r="547" spans="1:10">
      <c r="A547" t="str">
        <f>INDEX(ログ!A:A,$F$11+ROW(A546)-1)</f>
        <v>-64 :  0  8  4</v>
      </c>
      <c r="B547" s="6">
        <f>INDEX(ログ!N:N,$F$11+ROW(A546)-1)*$G$5</f>
        <v>0.34557519189487723</v>
      </c>
      <c r="C547" s="6">
        <f t="shared" si="27"/>
        <v>0.69115038378975446</v>
      </c>
      <c r="D547" s="6">
        <f>SUBSTITUTE(INDEX(ログ!P:P,$F$11+ROW(A546)-1),":","")*$G$5</f>
        <v>1.0367255756846316</v>
      </c>
      <c r="E547" s="4"/>
      <c r="F547" s="2"/>
      <c r="G547" s="2"/>
      <c r="H547" s="5" t="e">
        <f t="shared" si="25"/>
        <v>#VALUE!</v>
      </c>
      <c r="I547" s="5" t="e">
        <f t="shared" si="26"/>
        <v>#VALUE!</v>
      </c>
      <c r="J547" s="5">
        <f>ROUNDDOWN(INDEX(ログ!S:S,$F$11+ROW(A546)-1) * $F$8,0)</f>
        <v>0</v>
      </c>
    </row>
    <row r="548" spans="1:10">
      <c r="A548" t="str">
        <f>INDEX(ログ!A:A,$F$11+ROW(A547)-1)</f>
        <v xml:space="preserve"> 10 :  5  0 166</v>
      </c>
      <c r="B548" s="6">
        <f>INDEX(ログ!N:N,$F$11+ROW(A547)-1)*$G$5</f>
        <v>1.3823007675795089</v>
      </c>
      <c r="C548" s="6">
        <f t="shared" si="27"/>
        <v>4.1469023027385266</v>
      </c>
      <c r="D548" s="6">
        <f>SUBSTITUTE(INDEX(ログ!P:P,$F$11+ROW(A547)-1),":","")*$G$5</f>
        <v>6.9115038378975449</v>
      </c>
      <c r="E548" s="4"/>
      <c r="F548" s="2"/>
      <c r="G548" s="2"/>
      <c r="H548" s="5" t="e">
        <f t="shared" si="25"/>
        <v>#VALUE!</v>
      </c>
      <c r="I548" s="5" t="e">
        <f t="shared" si="26"/>
        <v>#VALUE!</v>
      </c>
      <c r="J548" s="5">
        <f>ROUNDDOWN(INDEX(ログ!S:S,$F$11+ROW(A547)-1) * $F$8,0)</f>
        <v>0</v>
      </c>
    </row>
    <row r="549" spans="1:10">
      <c r="A549" t="str">
        <f>INDEX(ログ!A:A,$F$11+ROW(A548)-1)</f>
        <v xml:space="preserve"> 41 :  2  9 200</v>
      </c>
      <c r="B549" s="6">
        <f>INDEX(ログ!N:N,$F$11+ROW(A548)-1)*$G$5</f>
        <v>11.058406140636071</v>
      </c>
      <c r="C549" s="6">
        <f t="shared" si="27"/>
        <v>8.2938046054770531</v>
      </c>
      <c r="D549" s="6">
        <f>SUBSTITUTE(INDEX(ログ!P:P,$F$11+ROW(A548)-1),":","")*$G$5</f>
        <v>5.5292030703180357</v>
      </c>
      <c r="E549" s="4"/>
      <c r="F549" s="2"/>
      <c r="G549" s="2"/>
      <c r="H549" s="5" t="e">
        <f t="shared" si="25"/>
        <v>#VALUE!</v>
      </c>
      <c r="I549" s="5" t="e">
        <f t="shared" si="26"/>
        <v>#VALUE!</v>
      </c>
      <c r="J549" s="5">
        <f>ROUNDDOWN(INDEX(ログ!S:S,$F$11+ROW(A548)-1) * $F$8,0)</f>
        <v>0</v>
      </c>
    </row>
    <row r="550" spans="1:10">
      <c r="A550" t="str">
        <f>INDEX(ログ!A:A,$F$11+ROW(A549)-1)</f>
        <v xml:space="preserve"> 48 :  8  0  0</v>
      </c>
      <c r="B550" s="6">
        <f>INDEX(ログ!N:N,$F$11+ROW(A549)-1)*$G$5</f>
        <v>0</v>
      </c>
      <c r="C550" s="6">
        <f t="shared" si="27"/>
        <v>-20.734511513692635</v>
      </c>
      <c r="D550" s="6">
        <f>SUBSTITUTE(INDEX(ログ!P:P,$F$11+ROW(A549)-1),":","")*$G$5</f>
        <v>-41.469023027385269</v>
      </c>
      <c r="E550" s="4"/>
      <c r="F550" s="2"/>
      <c r="G550" s="2"/>
      <c r="H550" s="5" t="e">
        <f t="shared" si="25"/>
        <v>#VALUE!</v>
      </c>
      <c r="I550" s="5" t="e">
        <f t="shared" si="26"/>
        <v>#VALUE!</v>
      </c>
      <c r="J550" s="5">
        <f>ROUNDDOWN(INDEX(ログ!S:S,$F$11+ROW(A549)-1) * $F$8,0)</f>
        <v>0</v>
      </c>
    </row>
    <row r="551" spans="1:10">
      <c r="A551" t="str">
        <f>INDEX(ログ!A:A,$F$11+ROW(A550)-1)</f>
        <v xml:space="preserve">  0 :  2  0 65</v>
      </c>
      <c r="B551" s="6">
        <f>INDEX(ログ!N:N,$F$11+ROW(A550)-1)*$G$5</f>
        <v>2.7646015351590179</v>
      </c>
      <c r="C551" s="6">
        <f t="shared" si="27"/>
        <v>7.2570790297924219</v>
      </c>
      <c r="D551" s="6">
        <f>SUBSTITUTE(INDEX(ログ!P:P,$F$11+ROW(A550)-1),":","")*$G$5</f>
        <v>11.749556524425826</v>
      </c>
      <c r="E551" s="4"/>
      <c r="F551" s="2"/>
      <c r="G551" s="2"/>
      <c r="H551" s="5" t="e">
        <f t="shared" si="25"/>
        <v>#VALUE!</v>
      </c>
      <c r="I551" s="5" t="e">
        <f t="shared" si="26"/>
        <v>#VALUE!</v>
      </c>
      <c r="J551" s="5">
        <f>ROUNDDOWN(INDEX(ログ!S:S,$F$11+ROW(A550)-1) * $F$8,0)</f>
        <v>0</v>
      </c>
    </row>
    <row r="552" spans="1:10">
      <c r="A552" t="str">
        <f>INDEX(ログ!A:A,$F$11+ROW(A551)-1)</f>
        <v xml:space="preserve">  4 :  0  0  1</v>
      </c>
      <c r="B552" s="6">
        <f>INDEX(ログ!N:N,$F$11+ROW(A551)-1)*$G$5</f>
        <v>0</v>
      </c>
      <c r="C552" s="6">
        <f t="shared" si="27"/>
        <v>-1.2095131716320704</v>
      </c>
      <c r="D552" s="6">
        <f>SUBSTITUTE(INDEX(ログ!P:P,$F$11+ROW(A551)-1),":","")*$G$5</f>
        <v>-2.4190263432641408</v>
      </c>
      <c r="E552" s="4"/>
      <c r="F552" s="2"/>
      <c r="G552" s="2"/>
      <c r="H552" s="5" t="e">
        <f t="shared" si="25"/>
        <v>#VALUE!</v>
      </c>
      <c r="I552" s="5" t="e">
        <f t="shared" si="26"/>
        <v>#VALUE!</v>
      </c>
      <c r="J552" s="5">
        <f>ROUNDDOWN(INDEX(ログ!S:S,$F$11+ROW(A551)-1) * $F$8,0)</f>
        <v>0</v>
      </c>
    </row>
    <row r="553" spans="1:10">
      <c r="A553" t="str">
        <f>INDEX(ログ!A:A,$F$11+ROW(A552)-1)</f>
        <v xml:space="preserve">  4 :  0  0  1</v>
      </c>
      <c r="B553" s="6">
        <f>INDEX(ログ!N:N,$F$11+ROW(A552)-1)*$G$5</f>
        <v>0</v>
      </c>
      <c r="C553" s="6">
        <f t="shared" si="27"/>
        <v>-1.2095131716320704</v>
      </c>
      <c r="D553" s="6">
        <f>SUBSTITUTE(INDEX(ログ!P:P,$F$11+ROW(A552)-1),":","")*$G$5</f>
        <v>-2.4190263432641408</v>
      </c>
      <c r="E553" s="4"/>
      <c r="F553" s="2"/>
      <c r="G553" s="2"/>
      <c r="H553" s="5" t="e">
        <f t="shared" si="25"/>
        <v>#VALUE!</v>
      </c>
      <c r="I553" s="5" t="e">
        <f t="shared" si="26"/>
        <v>#VALUE!</v>
      </c>
      <c r="J553" s="5">
        <f>ROUNDDOWN(INDEX(ログ!S:S,$F$11+ROW(A552)-1) * $F$8,0)</f>
        <v>0</v>
      </c>
    </row>
    <row r="554" spans="1:10">
      <c r="A554" t="str">
        <f>INDEX(ログ!A:A,$F$11+ROW(A553)-1)</f>
        <v xml:space="preserve">  4 :  0  0  1</v>
      </c>
      <c r="B554" s="6">
        <f>INDEX(ログ!N:N,$F$11+ROW(A553)-1)*$G$5</f>
        <v>0</v>
      </c>
      <c r="C554" s="6">
        <f t="shared" si="27"/>
        <v>-1.2095131716320704</v>
      </c>
      <c r="D554" s="6">
        <f>SUBSTITUTE(INDEX(ログ!P:P,$F$11+ROW(A553)-1),":","")*$G$5</f>
        <v>-2.4190263432641408</v>
      </c>
      <c r="E554" s="4"/>
      <c r="F554" s="2"/>
      <c r="G554" s="2"/>
      <c r="H554" s="5" t="e">
        <f t="shared" si="25"/>
        <v>#VALUE!</v>
      </c>
      <c r="I554" s="5" t="e">
        <f t="shared" si="26"/>
        <v>#VALUE!</v>
      </c>
      <c r="J554" s="5">
        <f>ROUNDDOWN(INDEX(ログ!S:S,$F$11+ROW(A553)-1) * $F$8,0)</f>
        <v>0</v>
      </c>
    </row>
    <row r="555" spans="1:10">
      <c r="A555" t="str">
        <f>INDEX(ログ!A:A,$F$11+ROW(A554)-1)</f>
        <v xml:space="preserve">  4 :  0  0  1</v>
      </c>
      <c r="B555" s="6">
        <f>INDEX(ログ!N:N,$F$11+ROW(A554)-1)*$G$5</f>
        <v>0</v>
      </c>
      <c r="C555" s="6">
        <f t="shared" si="27"/>
        <v>-1.2095131716320704</v>
      </c>
      <c r="D555" s="6">
        <f>SUBSTITUTE(INDEX(ログ!P:P,$F$11+ROW(A554)-1),":","")*$G$5</f>
        <v>-2.4190263432641408</v>
      </c>
      <c r="E555" s="4"/>
      <c r="F555" s="2"/>
      <c r="G555" s="2"/>
      <c r="H555" s="5" t="e">
        <f t="shared" si="25"/>
        <v>#VALUE!</v>
      </c>
      <c r="I555" s="5" t="e">
        <f t="shared" si="26"/>
        <v>#VALUE!</v>
      </c>
      <c r="J555" s="5">
        <f>ROUNDDOWN(INDEX(ログ!S:S,$F$11+ROW(A554)-1) * $F$8,0)</f>
        <v>0</v>
      </c>
    </row>
    <row r="556" spans="1:10">
      <c r="A556" t="str">
        <f>INDEX(ログ!A:A,$F$11+ROW(A555)-1)</f>
        <v xml:space="preserve">  4 :  0  0  1</v>
      </c>
      <c r="B556" s="6">
        <f>INDEX(ログ!N:N,$F$11+ROW(A555)-1)*$G$5</f>
        <v>0</v>
      </c>
      <c r="C556" s="6">
        <f t="shared" si="27"/>
        <v>-1.2095131716320704</v>
      </c>
      <c r="D556" s="6">
        <f>SUBSTITUTE(INDEX(ログ!P:P,$F$11+ROW(A555)-1),":","")*$G$5</f>
        <v>-2.4190263432641408</v>
      </c>
      <c r="E556" s="4"/>
      <c r="F556" s="2"/>
      <c r="G556" s="2"/>
      <c r="H556" s="5" t="e">
        <f t="shared" si="25"/>
        <v>#VALUE!</v>
      </c>
      <c r="I556" s="5" t="e">
        <f t="shared" si="26"/>
        <v>#VALUE!</v>
      </c>
      <c r="J556" s="5">
        <f>ROUNDDOWN(INDEX(ログ!S:S,$F$11+ROW(A555)-1) * $F$8,0)</f>
        <v>0</v>
      </c>
    </row>
    <row r="557" spans="1:10">
      <c r="A557" t="str">
        <f>INDEX(ログ!A:A,$F$11+ROW(A556)-1)</f>
        <v xml:space="preserve">  4 :  0  0  1</v>
      </c>
      <c r="B557" s="6">
        <f>INDEX(ログ!N:N,$F$11+ROW(A556)-1)*$G$5</f>
        <v>0</v>
      </c>
      <c r="C557" s="6">
        <f t="shared" si="27"/>
        <v>-1.2095131716320704</v>
      </c>
      <c r="D557" s="6">
        <f>SUBSTITUTE(INDEX(ログ!P:P,$F$11+ROW(A556)-1),":","")*$G$5</f>
        <v>-2.4190263432641408</v>
      </c>
      <c r="E557" s="4"/>
      <c r="F557" s="2"/>
      <c r="G557" s="2"/>
      <c r="H557" s="5" t="e">
        <f t="shared" si="25"/>
        <v>#VALUE!</v>
      </c>
      <c r="I557" s="5" t="e">
        <f t="shared" si="26"/>
        <v>#VALUE!</v>
      </c>
      <c r="J557" s="5">
        <f>ROUNDDOWN(INDEX(ログ!S:S,$F$11+ROW(A556)-1) * $F$8,0)</f>
        <v>0</v>
      </c>
    </row>
    <row r="558" spans="1:10">
      <c r="A558" t="str">
        <f>INDEX(ログ!A:A,$F$11+ROW(A557)-1)</f>
        <v xml:space="preserve">  4 :  0  0  1</v>
      </c>
      <c r="B558" s="6">
        <f>INDEX(ログ!N:N,$F$11+ROW(A557)-1)*$G$5</f>
        <v>0</v>
      </c>
      <c r="C558" s="6">
        <f t="shared" si="27"/>
        <v>-1.2095131716320704</v>
      </c>
      <c r="D558" s="6">
        <f>SUBSTITUTE(INDEX(ログ!P:P,$F$11+ROW(A557)-1),":","")*$G$5</f>
        <v>-2.4190263432641408</v>
      </c>
      <c r="E558" s="4"/>
      <c r="F558" s="2"/>
      <c r="G558" s="2"/>
      <c r="H558" s="5" t="e">
        <f t="shared" si="25"/>
        <v>#VALUE!</v>
      </c>
      <c r="I558" s="5" t="e">
        <f t="shared" si="26"/>
        <v>#VALUE!</v>
      </c>
      <c r="J558" s="5">
        <f>ROUNDDOWN(INDEX(ログ!S:S,$F$11+ROW(A557)-1) * $F$8,0)</f>
        <v>0</v>
      </c>
    </row>
    <row r="559" spans="1:10">
      <c r="A559" t="str">
        <f>INDEX(ログ!A:A,$F$11+ROW(A558)-1)</f>
        <v xml:space="preserve">  4 :  0  0  1</v>
      </c>
      <c r="B559" s="6">
        <f>INDEX(ログ!N:N,$F$11+ROW(A558)-1)*$G$5</f>
        <v>0</v>
      </c>
      <c r="C559" s="6">
        <f t="shared" si="27"/>
        <v>-1.2095131716320704</v>
      </c>
      <c r="D559" s="6">
        <f>SUBSTITUTE(INDEX(ログ!P:P,$F$11+ROW(A558)-1),":","")*$G$5</f>
        <v>-2.4190263432641408</v>
      </c>
      <c r="E559" s="4"/>
      <c r="F559" s="2"/>
      <c r="G559" s="2"/>
      <c r="H559" s="5" t="e">
        <f t="shared" si="25"/>
        <v>#VALUE!</v>
      </c>
      <c r="I559" s="5" t="e">
        <f t="shared" si="26"/>
        <v>#VALUE!</v>
      </c>
      <c r="J559" s="5">
        <f>ROUNDDOWN(INDEX(ログ!S:S,$F$11+ROW(A558)-1) * $F$8,0)</f>
        <v>0</v>
      </c>
    </row>
    <row r="560" spans="1:10">
      <c r="A560" t="str">
        <f>INDEX(ログ!A:A,$F$11+ROW(A559)-1)</f>
        <v xml:space="preserve">  4 :  0  0  1</v>
      </c>
      <c r="B560" s="6">
        <f>INDEX(ログ!N:N,$F$11+ROW(A559)-1)*$G$5</f>
        <v>0</v>
      </c>
      <c r="C560" s="6">
        <f t="shared" si="27"/>
        <v>-1.2095131716320704</v>
      </c>
      <c r="D560" s="6">
        <f>SUBSTITUTE(INDEX(ログ!P:P,$F$11+ROW(A559)-1),":","")*$G$5</f>
        <v>-2.4190263432641408</v>
      </c>
      <c r="E560" s="4"/>
      <c r="F560" s="2"/>
      <c r="G560" s="2"/>
      <c r="H560" s="5" t="e">
        <f t="shared" si="25"/>
        <v>#VALUE!</v>
      </c>
      <c r="I560" s="5" t="e">
        <f t="shared" si="26"/>
        <v>#VALUE!</v>
      </c>
      <c r="J560" s="5">
        <f>ROUNDDOWN(INDEX(ログ!S:S,$F$11+ROW(A559)-1) * $F$8,0)</f>
        <v>0</v>
      </c>
    </row>
    <row r="561" spans="1:10">
      <c r="A561" t="str">
        <f>INDEX(ログ!A:A,$F$11+ROW(A560)-1)</f>
        <v xml:space="preserve">  4 :  0  0  1</v>
      </c>
      <c r="B561" s="6">
        <f>INDEX(ログ!N:N,$F$11+ROW(A560)-1)*$G$5</f>
        <v>0</v>
      </c>
      <c r="C561" s="6">
        <f t="shared" si="27"/>
        <v>-1.2095131716320704</v>
      </c>
      <c r="D561" s="6">
        <f>SUBSTITUTE(INDEX(ログ!P:P,$F$11+ROW(A560)-1),":","")*$G$5</f>
        <v>-2.4190263432641408</v>
      </c>
      <c r="E561" s="4"/>
      <c r="F561" s="2"/>
      <c r="G561" s="2"/>
      <c r="H561" s="5" t="e">
        <f t="shared" si="25"/>
        <v>#VALUE!</v>
      </c>
      <c r="I561" s="5" t="e">
        <f t="shared" si="26"/>
        <v>#VALUE!</v>
      </c>
      <c r="J561" s="5">
        <f>ROUNDDOWN(INDEX(ログ!S:S,$F$11+ROW(A560)-1) * $F$8,0)</f>
        <v>0</v>
      </c>
    </row>
    <row r="562" spans="1:10">
      <c r="A562" t="str">
        <f>INDEX(ログ!A:A,$F$11+ROW(A561)-1)</f>
        <v xml:space="preserve">  4 :  0  0  1</v>
      </c>
      <c r="B562" s="6">
        <f>INDEX(ログ!N:N,$F$11+ROW(A561)-1)*$G$5</f>
        <v>0</v>
      </c>
      <c r="C562" s="6">
        <f t="shared" si="27"/>
        <v>-1.2095131716320704</v>
      </c>
      <c r="D562" s="6">
        <f>SUBSTITUTE(INDEX(ログ!P:P,$F$11+ROW(A561)-1),":","")*$G$5</f>
        <v>-2.4190263432641408</v>
      </c>
      <c r="E562" s="4"/>
      <c r="F562" s="2"/>
      <c r="G562" s="2"/>
      <c r="H562" s="5" t="e">
        <f t="shared" si="25"/>
        <v>#VALUE!</v>
      </c>
      <c r="I562" s="5" t="e">
        <f t="shared" si="26"/>
        <v>#VALUE!</v>
      </c>
      <c r="J562" s="5">
        <f>ROUNDDOWN(INDEX(ログ!S:S,$F$11+ROW(A561)-1) * $F$8,0)</f>
        <v>0</v>
      </c>
    </row>
    <row r="563" spans="1:10">
      <c r="A563" t="str">
        <f>INDEX(ログ!A:A,$F$11+ROW(A562)-1)</f>
        <v xml:space="preserve">  4 :  0  0  1</v>
      </c>
      <c r="B563" s="6">
        <f>INDEX(ログ!N:N,$F$11+ROW(A562)-1)*$G$5</f>
        <v>0</v>
      </c>
      <c r="C563" s="6">
        <f t="shared" si="27"/>
        <v>-1.2095131716320704</v>
      </c>
      <c r="D563" s="6">
        <f>SUBSTITUTE(INDEX(ログ!P:P,$F$11+ROW(A562)-1),":","")*$G$5</f>
        <v>-2.4190263432641408</v>
      </c>
      <c r="E563" s="4"/>
      <c r="F563" s="2"/>
      <c r="G563" s="2"/>
      <c r="H563" s="5" t="e">
        <f t="shared" si="25"/>
        <v>#VALUE!</v>
      </c>
      <c r="I563" s="5" t="e">
        <f t="shared" si="26"/>
        <v>#VALUE!</v>
      </c>
      <c r="J563" s="5">
        <f>ROUNDDOWN(INDEX(ログ!S:S,$F$11+ROW(A562)-1) * $F$8,0)</f>
        <v>0</v>
      </c>
    </row>
    <row r="564" spans="1:10">
      <c r="A564" t="str">
        <f>INDEX(ログ!A:A,$F$11+ROW(A563)-1)</f>
        <v xml:space="preserve">  4 :  0  0  1</v>
      </c>
      <c r="B564" s="6">
        <f>INDEX(ログ!N:N,$F$11+ROW(A563)-1)*$G$5</f>
        <v>0</v>
      </c>
      <c r="C564" s="6">
        <f t="shared" si="27"/>
        <v>-1.2095131716320704</v>
      </c>
      <c r="D564" s="6">
        <f>SUBSTITUTE(INDEX(ログ!P:P,$F$11+ROW(A563)-1),":","")*$G$5</f>
        <v>-2.4190263432641408</v>
      </c>
      <c r="E564" s="4"/>
      <c r="F564" s="2"/>
      <c r="G564" s="2"/>
      <c r="H564" s="5" t="e">
        <f t="shared" si="25"/>
        <v>#VALUE!</v>
      </c>
      <c r="I564" s="5" t="e">
        <f t="shared" si="26"/>
        <v>#VALUE!</v>
      </c>
      <c r="J564" s="5">
        <f>ROUNDDOWN(INDEX(ログ!S:S,$F$11+ROW(A563)-1) * $F$8,0)</f>
        <v>0</v>
      </c>
    </row>
    <row r="565" spans="1:10">
      <c r="A565" t="str">
        <f>INDEX(ログ!A:A,$F$11+ROW(A564)-1)</f>
        <v xml:space="preserve">  4 :  0  0  1</v>
      </c>
      <c r="B565" s="6">
        <f>INDEX(ログ!N:N,$F$11+ROW(A564)-1)*$G$5</f>
        <v>0</v>
      </c>
      <c r="C565" s="6">
        <f t="shared" si="27"/>
        <v>-1.2095131716320704</v>
      </c>
      <c r="D565" s="6">
        <f>SUBSTITUTE(INDEX(ログ!P:P,$F$11+ROW(A564)-1),":","")*$G$5</f>
        <v>-2.4190263432641408</v>
      </c>
      <c r="E565" s="4"/>
      <c r="F565" s="2"/>
      <c r="G565" s="2"/>
      <c r="H565" s="5" t="e">
        <f t="shared" si="25"/>
        <v>#VALUE!</v>
      </c>
      <c r="I565" s="5" t="e">
        <f t="shared" si="26"/>
        <v>#VALUE!</v>
      </c>
      <c r="J565" s="5">
        <f>ROUNDDOWN(INDEX(ログ!S:S,$F$11+ROW(A564)-1) * $F$8,0)</f>
        <v>0</v>
      </c>
    </row>
    <row r="566" spans="1:10">
      <c r="A566" t="str">
        <f>INDEX(ログ!A:A,$F$11+ROW(A565)-1)</f>
        <v xml:space="preserve">  4 :  0  0  1</v>
      </c>
      <c r="B566" s="6">
        <f>INDEX(ログ!N:N,$F$11+ROW(A565)-1)*$G$5</f>
        <v>0</v>
      </c>
      <c r="C566" s="6">
        <f t="shared" si="27"/>
        <v>-1.2095131716320704</v>
      </c>
      <c r="D566" s="6">
        <f>SUBSTITUTE(INDEX(ログ!P:P,$F$11+ROW(A565)-1),":","")*$G$5</f>
        <v>-2.4190263432641408</v>
      </c>
      <c r="E566" s="4"/>
      <c r="F566" s="2"/>
      <c r="G566" s="2"/>
      <c r="H566" s="5" t="e">
        <f t="shared" si="25"/>
        <v>#VALUE!</v>
      </c>
      <c r="I566" s="5" t="e">
        <f t="shared" si="26"/>
        <v>#VALUE!</v>
      </c>
      <c r="J566" s="5">
        <f>ROUNDDOWN(INDEX(ログ!S:S,$F$11+ROW(A565)-1) * $F$8,0)</f>
        <v>0</v>
      </c>
    </row>
    <row r="567" spans="1:10">
      <c r="A567" t="str">
        <f>INDEX(ログ!A:A,$F$11+ROW(A566)-1)</f>
        <v xml:space="preserve">  4 :  0  0  1</v>
      </c>
      <c r="B567" s="6">
        <f>INDEX(ログ!N:N,$F$11+ROW(A566)-1)*$G$5</f>
        <v>0</v>
      </c>
      <c r="C567" s="6">
        <f t="shared" si="27"/>
        <v>-1.2095131716320704</v>
      </c>
      <c r="D567" s="6">
        <f>SUBSTITUTE(INDEX(ログ!P:P,$F$11+ROW(A566)-1),":","")*$G$5</f>
        <v>-2.4190263432641408</v>
      </c>
      <c r="E567" s="4"/>
      <c r="F567" s="2"/>
      <c r="G567" s="2"/>
      <c r="H567" s="5" t="e">
        <f t="shared" si="25"/>
        <v>#VALUE!</v>
      </c>
      <c r="I567" s="5" t="e">
        <f t="shared" si="26"/>
        <v>#VALUE!</v>
      </c>
      <c r="J567" s="5">
        <f>ROUNDDOWN(INDEX(ログ!S:S,$F$11+ROW(A566)-1) * $F$8,0)</f>
        <v>0</v>
      </c>
    </row>
    <row r="568" spans="1:10">
      <c r="A568" t="str">
        <f>INDEX(ログ!A:A,$F$11+ROW(A567)-1)</f>
        <v xml:space="preserve">  4 :  0  0  1</v>
      </c>
      <c r="B568" s="6">
        <f>INDEX(ログ!N:N,$F$11+ROW(A567)-1)*$G$5</f>
        <v>0</v>
      </c>
      <c r="C568" s="6">
        <f t="shared" si="27"/>
        <v>-1.2095131716320704</v>
      </c>
      <c r="D568" s="6">
        <f>SUBSTITUTE(INDEX(ログ!P:P,$F$11+ROW(A567)-1),":","")*$G$5</f>
        <v>-2.4190263432641408</v>
      </c>
      <c r="E568" s="4"/>
      <c r="F568" s="2"/>
      <c r="G568" s="2"/>
      <c r="H568" s="5" t="e">
        <f t="shared" si="25"/>
        <v>#VALUE!</v>
      </c>
      <c r="I568" s="5" t="e">
        <f t="shared" si="26"/>
        <v>#VALUE!</v>
      </c>
      <c r="J568" s="5">
        <f>ROUNDDOWN(INDEX(ログ!S:S,$F$11+ROW(A567)-1) * $F$8,0)</f>
        <v>0</v>
      </c>
    </row>
    <row r="569" spans="1:10">
      <c r="A569" t="str">
        <f>INDEX(ログ!A:A,$F$11+ROW(A568)-1)</f>
        <v xml:space="preserve">  4 :  0  0  1</v>
      </c>
      <c r="B569" s="6">
        <f>INDEX(ログ!N:N,$F$11+ROW(A568)-1)*$G$5</f>
        <v>0</v>
      </c>
      <c r="C569" s="6">
        <f t="shared" si="27"/>
        <v>-1.2095131716320704</v>
      </c>
      <c r="D569" s="6">
        <f>SUBSTITUTE(INDEX(ログ!P:P,$F$11+ROW(A568)-1),":","")*$G$5</f>
        <v>-2.4190263432641408</v>
      </c>
      <c r="E569" s="4"/>
      <c r="F569" s="2"/>
      <c r="G569" s="2"/>
      <c r="H569" s="5" t="e">
        <f t="shared" si="25"/>
        <v>#VALUE!</v>
      </c>
      <c r="I569" s="5" t="e">
        <f t="shared" si="26"/>
        <v>#VALUE!</v>
      </c>
      <c r="J569" s="5">
        <f>ROUNDDOWN(INDEX(ログ!S:S,$F$11+ROW(A568)-1) * $F$8,0)</f>
        <v>0</v>
      </c>
    </row>
    <row r="570" spans="1:10">
      <c r="A570" t="str">
        <f>INDEX(ログ!A:A,$F$11+ROW(A569)-1)</f>
        <v xml:space="preserve">  4 :  0  0  1</v>
      </c>
      <c r="B570" s="6">
        <f>INDEX(ログ!N:N,$F$11+ROW(A569)-1)*$G$5</f>
        <v>0</v>
      </c>
      <c r="C570" s="6">
        <f t="shared" si="27"/>
        <v>-1.2095131716320704</v>
      </c>
      <c r="D570" s="6">
        <f>SUBSTITUTE(INDEX(ログ!P:P,$F$11+ROW(A569)-1),":","")*$G$5</f>
        <v>-2.4190263432641408</v>
      </c>
      <c r="E570" s="4"/>
      <c r="F570" s="2"/>
      <c r="G570" s="2"/>
      <c r="H570" s="5" t="e">
        <f t="shared" si="25"/>
        <v>#VALUE!</v>
      </c>
      <c r="I570" s="5" t="e">
        <f t="shared" si="26"/>
        <v>#VALUE!</v>
      </c>
      <c r="J570" s="5">
        <f>ROUNDDOWN(INDEX(ログ!S:S,$F$11+ROW(A569)-1) * $F$8,0)</f>
        <v>0</v>
      </c>
    </row>
    <row r="571" spans="1:10">
      <c r="A571" t="str">
        <f>INDEX(ログ!A:A,$F$11+ROW(A570)-1)</f>
        <v xml:space="preserve">  4 :  0  0  1</v>
      </c>
      <c r="B571" s="6">
        <f>INDEX(ログ!N:N,$F$11+ROW(A570)-1)*$G$5</f>
        <v>0</v>
      </c>
      <c r="C571" s="6">
        <f t="shared" si="27"/>
        <v>-1.2095131716320704</v>
      </c>
      <c r="D571" s="6">
        <f>SUBSTITUTE(INDEX(ログ!P:P,$F$11+ROW(A570)-1),":","")*$G$5</f>
        <v>-2.4190263432641408</v>
      </c>
      <c r="E571" s="4"/>
      <c r="F571" s="2"/>
      <c r="G571" s="2"/>
      <c r="H571" s="5" t="e">
        <f t="shared" si="25"/>
        <v>#VALUE!</v>
      </c>
      <c r="I571" s="5" t="e">
        <f t="shared" si="26"/>
        <v>#VALUE!</v>
      </c>
      <c r="J571" s="5">
        <f>ROUNDDOWN(INDEX(ログ!S:S,$F$11+ROW(A570)-1) * $F$8,0)</f>
        <v>0</v>
      </c>
    </row>
    <row r="572" spans="1:10">
      <c r="A572" t="str">
        <f>INDEX(ログ!A:A,$F$11+ROW(A571)-1)</f>
        <v xml:space="preserve">  4 :  0  0  1</v>
      </c>
      <c r="B572" s="6">
        <f>INDEX(ログ!N:N,$F$11+ROW(A571)-1)*$G$5</f>
        <v>0</v>
      </c>
      <c r="C572" s="6">
        <f t="shared" si="27"/>
        <v>-1.2095131716320704</v>
      </c>
      <c r="D572" s="6">
        <f>SUBSTITUTE(INDEX(ログ!P:P,$F$11+ROW(A571)-1),":","")*$G$5</f>
        <v>-2.4190263432641408</v>
      </c>
      <c r="E572" s="4"/>
      <c r="F572" s="2"/>
      <c r="G572" s="2"/>
      <c r="H572" s="5" t="e">
        <f t="shared" si="25"/>
        <v>#VALUE!</v>
      </c>
      <c r="I572" s="5" t="e">
        <f t="shared" si="26"/>
        <v>#VALUE!</v>
      </c>
      <c r="J572" s="5">
        <f>ROUNDDOWN(INDEX(ログ!S:S,$F$11+ROW(A571)-1) * $F$8,0)</f>
        <v>0</v>
      </c>
    </row>
    <row r="573" spans="1:10">
      <c r="A573" t="str">
        <f>INDEX(ログ!A:A,$F$11+ROW(A572)-1)</f>
        <v xml:space="preserve">  4 :  0  0  1</v>
      </c>
      <c r="B573" s="6">
        <f>INDEX(ログ!N:N,$F$11+ROW(A572)-1)*$G$5</f>
        <v>0</v>
      </c>
      <c r="C573" s="6">
        <f t="shared" si="27"/>
        <v>-1.2095131716320704</v>
      </c>
      <c r="D573" s="6">
        <f>SUBSTITUTE(INDEX(ログ!P:P,$F$11+ROW(A572)-1),":","")*$G$5</f>
        <v>-2.4190263432641408</v>
      </c>
      <c r="E573" s="4"/>
      <c r="F573" s="2"/>
      <c r="G573" s="2"/>
      <c r="H573" s="5" t="e">
        <f t="shared" si="25"/>
        <v>#VALUE!</v>
      </c>
      <c r="I573" s="5" t="e">
        <f t="shared" si="26"/>
        <v>#VALUE!</v>
      </c>
      <c r="J573" s="5">
        <f>ROUNDDOWN(INDEX(ログ!S:S,$F$11+ROW(A572)-1) * $F$8,0)</f>
        <v>0</v>
      </c>
    </row>
    <row r="574" spans="1:10">
      <c r="A574" t="str">
        <f>INDEX(ログ!A:A,$F$11+ROW(A573)-1)</f>
        <v xml:space="preserve">  4 :  0  0  1</v>
      </c>
      <c r="B574" s="6">
        <f>INDEX(ログ!N:N,$F$11+ROW(A573)-1)*$G$5</f>
        <v>0</v>
      </c>
      <c r="C574" s="6">
        <f t="shared" si="27"/>
        <v>-1.2095131716320704</v>
      </c>
      <c r="D574" s="6">
        <f>SUBSTITUTE(INDEX(ログ!P:P,$F$11+ROW(A573)-1),":","")*$G$5</f>
        <v>-2.4190263432641408</v>
      </c>
      <c r="E574" s="4"/>
      <c r="F574" s="2"/>
      <c r="G574" s="2"/>
      <c r="H574" s="5" t="e">
        <f t="shared" si="25"/>
        <v>#VALUE!</v>
      </c>
      <c r="I574" s="5" t="e">
        <f t="shared" si="26"/>
        <v>#VALUE!</v>
      </c>
      <c r="J574" s="5">
        <f>ROUNDDOWN(INDEX(ログ!S:S,$F$11+ROW(A573)-1) * $F$8,0)</f>
        <v>0</v>
      </c>
    </row>
    <row r="575" spans="1:10">
      <c r="A575" t="str">
        <f>INDEX(ログ!A:A,$F$11+ROW(A574)-1)</f>
        <v xml:space="preserve">  4 :  0  0  1</v>
      </c>
      <c r="B575" s="6">
        <f>INDEX(ログ!N:N,$F$11+ROW(A574)-1)*$G$5</f>
        <v>0</v>
      </c>
      <c r="C575" s="6">
        <f t="shared" si="27"/>
        <v>-1.2095131716320704</v>
      </c>
      <c r="D575" s="6">
        <f>SUBSTITUTE(INDEX(ログ!P:P,$F$11+ROW(A574)-1),":","")*$G$5</f>
        <v>-2.4190263432641408</v>
      </c>
      <c r="E575" s="4"/>
      <c r="F575" s="2"/>
      <c r="G575" s="2"/>
      <c r="H575" s="5" t="e">
        <f t="shared" ref="H575:H638" si="28">H574+(C575*COS(RADIANS(J574)))</f>
        <v>#VALUE!</v>
      </c>
      <c r="I575" s="5" t="e">
        <f t="shared" ref="I575:I638" si="29">I574+(C575*SIN(RADIANS(J574)))</f>
        <v>#VALUE!</v>
      </c>
      <c r="J575" s="5">
        <f>ROUNDDOWN(INDEX(ログ!S:S,$F$11+ROW(A574)-1) * $F$8,0)</f>
        <v>0</v>
      </c>
    </row>
    <row r="576" spans="1:10">
      <c r="A576" t="str">
        <f>INDEX(ログ!A:A,$F$11+ROW(A575)-1)</f>
        <v xml:space="preserve">  4 :  0  0  1</v>
      </c>
      <c r="B576" s="6">
        <f>INDEX(ログ!N:N,$F$11+ROW(A575)-1)*$G$5</f>
        <v>0</v>
      </c>
      <c r="C576" s="6">
        <f t="shared" si="27"/>
        <v>-1.2095131716320704</v>
      </c>
      <c r="D576" s="6">
        <f>SUBSTITUTE(INDEX(ログ!P:P,$F$11+ROW(A575)-1),":","")*$G$5</f>
        <v>-2.4190263432641408</v>
      </c>
      <c r="E576" s="4"/>
      <c r="F576" s="2"/>
      <c r="G576" s="2"/>
      <c r="H576" s="5" t="e">
        <f t="shared" si="28"/>
        <v>#VALUE!</v>
      </c>
      <c r="I576" s="5" t="e">
        <f t="shared" si="29"/>
        <v>#VALUE!</v>
      </c>
      <c r="J576" s="5">
        <f>ROUNDDOWN(INDEX(ログ!S:S,$F$11+ROW(A575)-1) * $F$8,0)</f>
        <v>0</v>
      </c>
    </row>
    <row r="577" spans="1:10">
      <c r="A577" t="str">
        <f>INDEX(ログ!A:A,$F$11+ROW(A576)-1)</f>
        <v xml:space="preserve">  4 :  0  0  1</v>
      </c>
      <c r="B577" s="6">
        <f>INDEX(ログ!N:N,$F$11+ROW(A576)-1)*$G$5</f>
        <v>0</v>
      </c>
      <c r="C577" s="6">
        <f t="shared" si="27"/>
        <v>-1.2095131716320704</v>
      </c>
      <c r="D577" s="6">
        <f>SUBSTITUTE(INDEX(ログ!P:P,$F$11+ROW(A576)-1),":","")*$G$5</f>
        <v>-2.4190263432641408</v>
      </c>
      <c r="E577" s="4"/>
      <c r="F577" s="2"/>
      <c r="G577" s="2"/>
      <c r="H577" s="5" t="e">
        <f t="shared" si="28"/>
        <v>#VALUE!</v>
      </c>
      <c r="I577" s="5" t="e">
        <f t="shared" si="29"/>
        <v>#VALUE!</v>
      </c>
      <c r="J577" s="5">
        <f>ROUNDDOWN(INDEX(ログ!S:S,$F$11+ROW(A576)-1) * $F$8,0)</f>
        <v>0</v>
      </c>
    </row>
    <row r="578" spans="1:10">
      <c r="A578" t="str">
        <f>INDEX(ログ!A:A,$F$11+ROW(A577)-1)</f>
        <v xml:space="preserve">  4 :  0  0  1</v>
      </c>
      <c r="B578" s="6">
        <f>INDEX(ログ!N:N,$F$11+ROW(A577)-1)*$G$5</f>
        <v>0</v>
      </c>
      <c r="C578" s="6">
        <f t="shared" si="27"/>
        <v>-1.2095131716320704</v>
      </c>
      <c r="D578" s="6">
        <f>SUBSTITUTE(INDEX(ログ!P:P,$F$11+ROW(A577)-1),":","")*$G$5</f>
        <v>-2.4190263432641408</v>
      </c>
      <c r="E578" s="4"/>
      <c r="F578" s="2"/>
      <c r="G578" s="2"/>
      <c r="H578" s="5" t="e">
        <f t="shared" si="28"/>
        <v>#VALUE!</v>
      </c>
      <c r="I578" s="5" t="e">
        <f t="shared" si="29"/>
        <v>#VALUE!</v>
      </c>
      <c r="J578" s="5">
        <f>ROUNDDOWN(INDEX(ログ!S:S,$F$11+ROW(A577)-1) * $F$8,0)</f>
        <v>0</v>
      </c>
    </row>
    <row r="579" spans="1:10">
      <c r="A579" t="str">
        <f>INDEX(ログ!A:A,$F$11+ROW(A578)-1)</f>
        <v xml:space="preserve">  4 :  0  0  1</v>
      </c>
      <c r="B579" s="6">
        <f>INDEX(ログ!N:N,$F$11+ROW(A578)-1)*$G$5</f>
        <v>0</v>
      </c>
      <c r="C579" s="6">
        <f t="shared" si="27"/>
        <v>-1.2095131716320704</v>
      </c>
      <c r="D579" s="6">
        <f>SUBSTITUTE(INDEX(ログ!P:P,$F$11+ROW(A578)-1),":","")*$G$5</f>
        <v>-2.4190263432641408</v>
      </c>
      <c r="E579" s="4"/>
      <c r="F579" s="2"/>
      <c r="G579" s="2"/>
      <c r="H579" s="5" t="e">
        <f t="shared" si="28"/>
        <v>#VALUE!</v>
      </c>
      <c r="I579" s="5" t="e">
        <f t="shared" si="29"/>
        <v>#VALUE!</v>
      </c>
      <c r="J579" s="5">
        <f>ROUNDDOWN(INDEX(ログ!S:S,$F$11+ROW(A578)-1) * $F$8,0)</f>
        <v>0</v>
      </c>
    </row>
    <row r="580" spans="1:10">
      <c r="A580" t="str">
        <f>INDEX(ログ!A:A,$F$11+ROW(A579)-1)</f>
        <v xml:space="preserve">  4 :  0  0  1</v>
      </c>
      <c r="B580" s="6">
        <f>INDEX(ログ!N:N,$F$11+ROW(A579)-1)*$G$5</f>
        <v>0</v>
      </c>
      <c r="C580" s="6">
        <f t="shared" si="27"/>
        <v>-1.2095131716320704</v>
      </c>
      <c r="D580" s="6">
        <f>SUBSTITUTE(INDEX(ログ!P:P,$F$11+ROW(A579)-1),":","")*$G$5</f>
        <v>-2.4190263432641408</v>
      </c>
      <c r="E580" s="4"/>
      <c r="F580" s="2"/>
      <c r="G580" s="2"/>
      <c r="H580" s="5" t="e">
        <f t="shared" si="28"/>
        <v>#VALUE!</v>
      </c>
      <c r="I580" s="5" t="e">
        <f t="shared" si="29"/>
        <v>#VALUE!</v>
      </c>
      <c r="J580" s="5">
        <f>ROUNDDOWN(INDEX(ログ!S:S,$F$11+ROW(A579)-1) * $F$8,0)</f>
        <v>0</v>
      </c>
    </row>
    <row r="581" spans="1:10">
      <c r="A581" t="str">
        <f>INDEX(ログ!A:A,$F$11+ROW(A580)-1)</f>
        <v xml:space="preserve">  4 :  0  0  1</v>
      </c>
      <c r="B581" s="6">
        <f>INDEX(ログ!N:N,$F$11+ROW(A580)-1)*$G$5</f>
        <v>0</v>
      </c>
      <c r="C581" s="6">
        <f t="shared" ref="C581:C644" si="30">(B581+D581)/2</f>
        <v>-1.2095131716320704</v>
      </c>
      <c r="D581" s="6">
        <f>SUBSTITUTE(INDEX(ログ!P:P,$F$11+ROW(A580)-1),":","")*$G$5</f>
        <v>-2.4190263432641408</v>
      </c>
      <c r="E581" s="4"/>
      <c r="F581" s="2"/>
      <c r="G581" s="2"/>
      <c r="H581" s="5" t="e">
        <f t="shared" si="28"/>
        <v>#VALUE!</v>
      </c>
      <c r="I581" s="5" t="e">
        <f t="shared" si="29"/>
        <v>#VALUE!</v>
      </c>
      <c r="J581" s="5">
        <f>ROUNDDOWN(INDEX(ログ!S:S,$F$11+ROW(A580)-1) * $F$8,0)</f>
        <v>0</v>
      </c>
    </row>
    <row r="582" spans="1:10">
      <c r="A582" t="str">
        <f>INDEX(ログ!A:A,$F$11+ROW(A581)-1)</f>
        <v xml:space="preserve">  4 :  0  0  1</v>
      </c>
      <c r="B582" s="6">
        <f>INDEX(ログ!N:N,$F$11+ROW(A581)-1)*$G$5</f>
        <v>0</v>
      </c>
      <c r="C582" s="6">
        <f t="shared" si="30"/>
        <v>-1.2095131716320704</v>
      </c>
      <c r="D582" s="6">
        <f>SUBSTITUTE(INDEX(ログ!P:P,$F$11+ROW(A581)-1),":","")*$G$5</f>
        <v>-2.4190263432641408</v>
      </c>
      <c r="E582" s="4"/>
      <c r="F582" s="2"/>
      <c r="G582" s="2"/>
      <c r="H582" s="5" t="e">
        <f t="shared" si="28"/>
        <v>#VALUE!</v>
      </c>
      <c r="I582" s="5" t="e">
        <f t="shared" si="29"/>
        <v>#VALUE!</v>
      </c>
      <c r="J582" s="5">
        <f>ROUNDDOWN(INDEX(ログ!S:S,$F$11+ROW(A581)-1) * $F$8,0)</f>
        <v>0</v>
      </c>
    </row>
    <row r="583" spans="1:10">
      <c r="A583" t="str">
        <f>INDEX(ログ!A:A,$F$11+ROW(A582)-1)</f>
        <v xml:space="preserve">  4 :  0  0  1</v>
      </c>
      <c r="B583" s="6">
        <f>INDEX(ログ!N:N,$F$11+ROW(A582)-1)*$G$5</f>
        <v>0</v>
      </c>
      <c r="C583" s="6">
        <f t="shared" si="30"/>
        <v>-1.2095131716320704</v>
      </c>
      <c r="D583" s="6">
        <f>SUBSTITUTE(INDEX(ログ!P:P,$F$11+ROW(A582)-1),":","")*$G$5</f>
        <v>-2.4190263432641408</v>
      </c>
      <c r="E583" s="4"/>
      <c r="F583" s="2"/>
      <c r="G583" s="2"/>
      <c r="H583" s="5" t="e">
        <f t="shared" si="28"/>
        <v>#VALUE!</v>
      </c>
      <c r="I583" s="5" t="e">
        <f t="shared" si="29"/>
        <v>#VALUE!</v>
      </c>
      <c r="J583" s="5">
        <f>ROUNDDOWN(INDEX(ログ!S:S,$F$11+ROW(A582)-1) * $F$8,0)</f>
        <v>0</v>
      </c>
    </row>
    <row r="584" spans="1:10">
      <c r="A584" t="str">
        <f>INDEX(ログ!A:A,$F$11+ROW(A583)-1)</f>
        <v xml:space="preserve">  4 :  0  0  1</v>
      </c>
      <c r="B584" s="6">
        <f>INDEX(ログ!N:N,$F$11+ROW(A583)-1)*$G$5</f>
        <v>0</v>
      </c>
      <c r="C584" s="6">
        <f t="shared" si="30"/>
        <v>-1.2095131716320704</v>
      </c>
      <c r="D584" s="6">
        <f>SUBSTITUTE(INDEX(ログ!P:P,$F$11+ROW(A583)-1),":","")*$G$5</f>
        <v>-2.4190263432641408</v>
      </c>
      <c r="E584" s="4"/>
      <c r="F584" s="2"/>
      <c r="G584" s="2"/>
      <c r="H584" s="5" t="e">
        <f t="shared" si="28"/>
        <v>#VALUE!</v>
      </c>
      <c r="I584" s="5" t="e">
        <f t="shared" si="29"/>
        <v>#VALUE!</v>
      </c>
      <c r="J584" s="5">
        <f>ROUNDDOWN(INDEX(ログ!S:S,$F$11+ROW(A583)-1) * $F$8,0)</f>
        <v>0</v>
      </c>
    </row>
    <row r="585" spans="1:10">
      <c r="A585" t="str">
        <f>INDEX(ログ!A:A,$F$11+ROW(A584)-1)</f>
        <v xml:space="preserve">  4 :  0  0  1</v>
      </c>
      <c r="B585" s="6">
        <f>INDEX(ログ!N:N,$F$11+ROW(A584)-1)*$G$5</f>
        <v>0</v>
      </c>
      <c r="C585" s="6">
        <f t="shared" si="30"/>
        <v>-1.2095131716320704</v>
      </c>
      <c r="D585" s="6">
        <f>SUBSTITUTE(INDEX(ログ!P:P,$F$11+ROW(A584)-1),":","")*$G$5</f>
        <v>-2.4190263432641408</v>
      </c>
      <c r="E585" s="4"/>
      <c r="F585" s="2"/>
      <c r="G585" s="2"/>
      <c r="H585" s="5" t="e">
        <f t="shared" si="28"/>
        <v>#VALUE!</v>
      </c>
      <c r="I585" s="5" t="e">
        <f t="shared" si="29"/>
        <v>#VALUE!</v>
      </c>
      <c r="J585" s="5">
        <f>ROUNDDOWN(INDEX(ログ!S:S,$F$11+ROW(A584)-1) * $F$8,0)</f>
        <v>0</v>
      </c>
    </row>
    <row r="586" spans="1:10">
      <c r="A586" t="str">
        <f>INDEX(ログ!A:A,$F$11+ROW(A585)-1)</f>
        <v xml:space="preserve">  4 :  0  0  1</v>
      </c>
      <c r="B586" s="6">
        <f>INDEX(ログ!N:N,$F$11+ROW(A585)-1)*$G$5</f>
        <v>0</v>
      </c>
      <c r="C586" s="6">
        <f t="shared" si="30"/>
        <v>-1.2095131716320704</v>
      </c>
      <c r="D586" s="6">
        <f>SUBSTITUTE(INDEX(ログ!P:P,$F$11+ROW(A585)-1),":","")*$G$5</f>
        <v>-2.4190263432641408</v>
      </c>
      <c r="E586" s="4"/>
      <c r="F586" s="2"/>
      <c r="G586" s="2"/>
      <c r="H586" s="5" t="e">
        <f t="shared" si="28"/>
        <v>#VALUE!</v>
      </c>
      <c r="I586" s="5" t="e">
        <f t="shared" si="29"/>
        <v>#VALUE!</v>
      </c>
      <c r="J586" s="5">
        <f>ROUNDDOWN(INDEX(ログ!S:S,$F$11+ROW(A585)-1) * $F$8,0)</f>
        <v>0</v>
      </c>
    </row>
    <row r="587" spans="1:10">
      <c r="A587" t="str">
        <f>INDEX(ログ!A:A,$F$11+ROW(A586)-1)</f>
        <v xml:space="preserve">  4 :  0  0  1</v>
      </c>
      <c r="B587" s="6">
        <f>INDEX(ログ!N:N,$F$11+ROW(A586)-1)*$G$5</f>
        <v>0</v>
      </c>
      <c r="C587" s="6">
        <f t="shared" si="30"/>
        <v>-1.2095131716320704</v>
      </c>
      <c r="D587" s="6">
        <f>SUBSTITUTE(INDEX(ログ!P:P,$F$11+ROW(A586)-1),":","")*$G$5</f>
        <v>-2.4190263432641408</v>
      </c>
      <c r="E587" s="4"/>
      <c r="F587" s="2"/>
      <c r="G587" s="2"/>
      <c r="H587" s="5" t="e">
        <f t="shared" si="28"/>
        <v>#VALUE!</v>
      </c>
      <c r="I587" s="5" t="e">
        <f t="shared" si="29"/>
        <v>#VALUE!</v>
      </c>
      <c r="J587" s="5">
        <f>ROUNDDOWN(INDEX(ログ!S:S,$F$11+ROW(A586)-1) * $F$8,0)</f>
        <v>0</v>
      </c>
    </row>
    <row r="588" spans="1:10">
      <c r="A588" t="str">
        <f>INDEX(ログ!A:A,$F$11+ROW(A587)-1)</f>
        <v xml:space="preserve">  4 :  0  0  1</v>
      </c>
      <c r="B588" s="6">
        <f>INDEX(ログ!N:N,$F$11+ROW(A587)-1)*$G$5</f>
        <v>0</v>
      </c>
      <c r="C588" s="6">
        <f t="shared" si="30"/>
        <v>-1.2095131716320704</v>
      </c>
      <c r="D588" s="6">
        <f>SUBSTITUTE(INDEX(ログ!P:P,$F$11+ROW(A587)-1),":","")*$G$5</f>
        <v>-2.4190263432641408</v>
      </c>
      <c r="E588" s="4"/>
      <c r="F588" s="2"/>
      <c r="G588" s="2"/>
      <c r="H588" s="5" t="e">
        <f t="shared" si="28"/>
        <v>#VALUE!</v>
      </c>
      <c r="I588" s="5" t="e">
        <f t="shared" si="29"/>
        <v>#VALUE!</v>
      </c>
      <c r="J588" s="5">
        <f>ROUNDDOWN(INDEX(ログ!S:S,$F$11+ROW(A587)-1) * $F$8,0)</f>
        <v>0</v>
      </c>
    </row>
    <row r="589" spans="1:10">
      <c r="A589" t="str">
        <f>INDEX(ログ!A:A,$F$11+ROW(A588)-1)</f>
        <v xml:space="preserve">  4 :  0  0  1</v>
      </c>
      <c r="B589" s="6">
        <f>INDEX(ログ!N:N,$F$11+ROW(A588)-1)*$G$5</f>
        <v>0</v>
      </c>
      <c r="C589" s="6">
        <f t="shared" si="30"/>
        <v>-1.2095131716320704</v>
      </c>
      <c r="D589" s="6">
        <f>SUBSTITUTE(INDEX(ログ!P:P,$F$11+ROW(A588)-1),":","")*$G$5</f>
        <v>-2.4190263432641408</v>
      </c>
      <c r="E589" s="4"/>
      <c r="F589" s="2"/>
      <c r="G589" s="2"/>
      <c r="H589" s="5" t="e">
        <f t="shared" si="28"/>
        <v>#VALUE!</v>
      </c>
      <c r="I589" s="5" t="e">
        <f t="shared" si="29"/>
        <v>#VALUE!</v>
      </c>
      <c r="J589" s="5">
        <f>ROUNDDOWN(INDEX(ログ!S:S,$F$11+ROW(A588)-1) * $F$8,0)</f>
        <v>0</v>
      </c>
    </row>
    <row r="590" spans="1:10">
      <c r="A590" t="str">
        <f>INDEX(ログ!A:A,$F$11+ROW(A589)-1)</f>
        <v xml:space="preserve">  4 :  0  0  1</v>
      </c>
      <c r="B590" s="6">
        <f>INDEX(ログ!N:N,$F$11+ROW(A589)-1)*$G$5</f>
        <v>0</v>
      </c>
      <c r="C590" s="6">
        <f t="shared" si="30"/>
        <v>-1.2095131716320704</v>
      </c>
      <c r="D590" s="6">
        <f>SUBSTITUTE(INDEX(ログ!P:P,$F$11+ROW(A589)-1),":","")*$G$5</f>
        <v>-2.4190263432641408</v>
      </c>
      <c r="E590" s="4"/>
      <c r="F590" s="2"/>
      <c r="G590" s="2"/>
      <c r="H590" s="5" t="e">
        <f t="shared" si="28"/>
        <v>#VALUE!</v>
      </c>
      <c r="I590" s="5" t="e">
        <f t="shared" si="29"/>
        <v>#VALUE!</v>
      </c>
      <c r="J590" s="5">
        <f>ROUNDDOWN(INDEX(ログ!S:S,$F$11+ROW(A589)-1) * $F$8,0)</f>
        <v>0</v>
      </c>
    </row>
    <row r="591" spans="1:10">
      <c r="A591" t="str">
        <f>INDEX(ログ!A:A,$F$11+ROW(A590)-1)</f>
        <v xml:space="preserve">  4 :  0  0  1</v>
      </c>
      <c r="B591" s="6">
        <f>INDEX(ログ!N:N,$F$11+ROW(A590)-1)*$G$5</f>
        <v>0</v>
      </c>
      <c r="C591" s="6">
        <f t="shared" si="30"/>
        <v>-1.2095131716320704</v>
      </c>
      <c r="D591" s="6">
        <f>SUBSTITUTE(INDEX(ログ!P:P,$F$11+ROW(A590)-1),":","")*$G$5</f>
        <v>-2.4190263432641408</v>
      </c>
      <c r="E591" s="4"/>
      <c r="F591" s="2"/>
      <c r="G591" s="2"/>
      <c r="H591" s="5" t="e">
        <f t="shared" si="28"/>
        <v>#VALUE!</v>
      </c>
      <c r="I591" s="5" t="e">
        <f t="shared" si="29"/>
        <v>#VALUE!</v>
      </c>
      <c r="J591" s="5">
        <f>ROUNDDOWN(INDEX(ログ!S:S,$F$11+ROW(A590)-1) * $F$8,0)</f>
        <v>0</v>
      </c>
    </row>
    <row r="592" spans="1:10">
      <c r="A592" t="str">
        <f>INDEX(ログ!A:A,$F$11+ROW(A591)-1)</f>
        <v xml:space="preserve">  4 :  0  0  1</v>
      </c>
      <c r="B592" s="6">
        <f>INDEX(ログ!N:N,$F$11+ROW(A591)-1)*$G$5</f>
        <v>0</v>
      </c>
      <c r="C592" s="6">
        <f t="shared" si="30"/>
        <v>-1.2095131716320704</v>
      </c>
      <c r="D592" s="6">
        <f>SUBSTITUTE(INDEX(ログ!P:P,$F$11+ROW(A591)-1),":","")*$G$5</f>
        <v>-2.4190263432641408</v>
      </c>
      <c r="E592" s="4"/>
      <c r="F592" s="2"/>
      <c r="G592" s="2"/>
      <c r="H592" s="5" t="e">
        <f t="shared" si="28"/>
        <v>#VALUE!</v>
      </c>
      <c r="I592" s="5" t="e">
        <f t="shared" si="29"/>
        <v>#VALUE!</v>
      </c>
      <c r="J592" s="5">
        <f>ROUNDDOWN(INDEX(ログ!S:S,$F$11+ROW(A591)-1) * $F$8,0)</f>
        <v>0</v>
      </c>
    </row>
    <row r="593" spans="1:10">
      <c r="A593" t="str">
        <f>INDEX(ログ!A:A,$F$11+ROW(A592)-1)</f>
        <v xml:space="preserve">  4 :  0  0  1</v>
      </c>
      <c r="B593" s="6">
        <f>INDEX(ログ!N:N,$F$11+ROW(A592)-1)*$G$5</f>
        <v>0</v>
      </c>
      <c r="C593" s="6">
        <f t="shared" si="30"/>
        <v>-1.2095131716320704</v>
      </c>
      <c r="D593" s="6">
        <f>SUBSTITUTE(INDEX(ログ!P:P,$F$11+ROW(A592)-1),":","")*$G$5</f>
        <v>-2.4190263432641408</v>
      </c>
      <c r="E593" s="4"/>
      <c r="F593" s="2"/>
      <c r="G593" s="2"/>
      <c r="H593" s="5" t="e">
        <f t="shared" si="28"/>
        <v>#VALUE!</v>
      </c>
      <c r="I593" s="5" t="e">
        <f t="shared" si="29"/>
        <v>#VALUE!</v>
      </c>
      <c r="J593" s="5">
        <f>ROUNDDOWN(INDEX(ログ!S:S,$F$11+ROW(A592)-1) * $F$8,0)</f>
        <v>0</v>
      </c>
    </row>
    <row r="594" spans="1:10">
      <c r="A594" t="str">
        <f>INDEX(ログ!A:A,$F$11+ROW(A593)-1)</f>
        <v xml:space="preserve">  4 :  0  0  1</v>
      </c>
      <c r="B594" s="6">
        <f>INDEX(ログ!N:N,$F$11+ROW(A593)-1)*$G$5</f>
        <v>0</v>
      </c>
      <c r="C594" s="6">
        <f t="shared" si="30"/>
        <v>-1.2095131716320704</v>
      </c>
      <c r="D594" s="6">
        <f>SUBSTITUTE(INDEX(ログ!P:P,$F$11+ROW(A593)-1),":","")*$G$5</f>
        <v>-2.4190263432641408</v>
      </c>
      <c r="E594" s="4"/>
      <c r="F594" s="2"/>
      <c r="G594" s="2"/>
      <c r="H594" s="5" t="e">
        <f t="shared" si="28"/>
        <v>#VALUE!</v>
      </c>
      <c r="I594" s="5" t="e">
        <f t="shared" si="29"/>
        <v>#VALUE!</v>
      </c>
      <c r="J594" s="5">
        <f>ROUNDDOWN(INDEX(ログ!S:S,$F$11+ROW(A593)-1) * $F$8,0)</f>
        <v>0</v>
      </c>
    </row>
    <row r="595" spans="1:10">
      <c r="A595" t="str">
        <f>INDEX(ログ!A:A,$F$11+ROW(A594)-1)</f>
        <v xml:space="preserve">  4 :  0  0  1</v>
      </c>
      <c r="B595" s="6">
        <f>INDEX(ログ!N:N,$F$11+ROW(A594)-1)*$G$5</f>
        <v>0</v>
      </c>
      <c r="C595" s="6">
        <f t="shared" si="30"/>
        <v>-1.2095131716320704</v>
      </c>
      <c r="D595" s="6">
        <f>SUBSTITUTE(INDEX(ログ!P:P,$F$11+ROW(A594)-1),":","")*$G$5</f>
        <v>-2.4190263432641408</v>
      </c>
      <c r="E595" s="4"/>
      <c r="F595" s="2"/>
      <c r="G595" s="2"/>
      <c r="H595" s="5" t="e">
        <f t="shared" si="28"/>
        <v>#VALUE!</v>
      </c>
      <c r="I595" s="5" t="e">
        <f t="shared" si="29"/>
        <v>#VALUE!</v>
      </c>
      <c r="J595" s="5">
        <f>ROUNDDOWN(INDEX(ログ!S:S,$F$11+ROW(A594)-1) * $F$8,0)</f>
        <v>0</v>
      </c>
    </row>
    <row r="596" spans="1:10">
      <c r="A596" t="str">
        <f>INDEX(ログ!A:A,$F$11+ROW(A595)-1)</f>
        <v xml:space="preserve">  4 :  0  0  1</v>
      </c>
      <c r="B596" s="6">
        <f>INDEX(ログ!N:N,$F$11+ROW(A595)-1)*$G$5</f>
        <v>0</v>
      </c>
      <c r="C596" s="6">
        <f t="shared" si="30"/>
        <v>-1.2095131716320704</v>
      </c>
      <c r="D596" s="6">
        <f>SUBSTITUTE(INDEX(ログ!P:P,$F$11+ROW(A595)-1),":","")*$G$5</f>
        <v>-2.4190263432641408</v>
      </c>
      <c r="E596" s="4"/>
      <c r="F596" s="2"/>
      <c r="G596" s="2"/>
      <c r="H596" s="5" t="e">
        <f t="shared" si="28"/>
        <v>#VALUE!</v>
      </c>
      <c r="I596" s="5" t="e">
        <f t="shared" si="29"/>
        <v>#VALUE!</v>
      </c>
      <c r="J596" s="5">
        <f>ROUNDDOWN(INDEX(ログ!S:S,$F$11+ROW(A595)-1) * $F$8,0)</f>
        <v>0</v>
      </c>
    </row>
    <row r="597" spans="1:10">
      <c r="A597" t="str">
        <f>INDEX(ログ!A:A,$F$11+ROW(A596)-1)</f>
        <v xml:space="preserve">  4 :  0  0  1</v>
      </c>
      <c r="B597" s="6">
        <f>INDEX(ログ!N:N,$F$11+ROW(A596)-1)*$G$5</f>
        <v>0</v>
      </c>
      <c r="C597" s="6">
        <f t="shared" si="30"/>
        <v>-1.2095131716320704</v>
      </c>
      <c r="D597" s="6">
        <f>SUBSTITUTE(INDEX(ログ!P:P,$F$11+ROW(A596)-1),":","")*$G$5</f>
        <v>-2.4190263432641408</v>
      </c>
      <c r="E597" s="4"/>
      <c r="F597" s="2"/>
      <c r="G597" s="2"/>
      <c r="H597" s="5" t="e">
        <f t="shared" si="28"/>
        <v>#VALUE!</v>
      </c>
      <c r="I597" s="5" t="e">
        <f t="shared" si="29"/>
        <v>#VALUE!</v>
      </c>
      <c r="J597" s="5">
        <f>ROUNDDOWN(INDEX(ログ!S:S,$F$11+ROW(A596)-1) * $F$8,0)</f>
        <v>0</v>
      </c>
    </row>
    <row r="598" spans="1:10">
      <c r="A598" t="str">
        <f>INDEX(ログ!A:A,$F$11+ROW(A597)-1)</f>
        <v xml:space="preserve">  4 :  0  0  1</v>
      </c>
      <c r="B598" s="6">
        <f>INDEX(ログ!N:N,$F$11+ROW(A597)-1)*$G$5</f>
        <v>0</v>
      </c>
      <c r="C598" s="6">
        <f t="shared" si="30"/>
        <v>-1.2095131716320704</v>
      </c>
      <c r="D598" s="6">
        <f>SUBSTITUTE(INDEX(ログ!P:P,$F$11+ROW(A597)-1),":","")*$G$5</f>
        <v>-2.4190263432641408</v>
      </c>
      <c r="E598" s="4"/>
      <c r="F598" s="2"/>
      <c r="G598" s="2"/>
      <c r="H598" s="5" t="e">
        <f t="shared" si="28"/>
        <v>#VALUE!</v>
      </c>
      <c r="I598" s="5" t="e">
        <f t="shared" si="29"/>
        <v>#VALUE!</v>
      </c>
      <c r="J598" s="5">
        <f>ROUNDDOWN(INDEX(ログ!S:S,$F$11+ROW(A597)-1) * $F$8,0)</f>
        <v>0</v>
      </c>
    </row>
    <row r="599" spans="1:10">
      <c r="A599" t="str">
        <f>INDEX(ログ!A:A,$F$11+ROW(A598)-1)</f>
        <v xml:space="preserve">  4 :  0  0  1</v>
      </c>
      <c r="B599" s="6">
        <f>INDEX(ログ!N:N,$F$11+ROW(A598)-1)*$G$5</f>
        <v>0</v>
      </c>
      <c r="C599" s="6">
        <f t="shared" si="30"/>
        <v>-1.2095131716320704</v>
      </c>
      <c r="D599" s="6">
        <f>SUBSTITUTE(INDEX(ログ!P:P,$F$11+ROW(A598)-1),":","")*$G$5</f>
        <v>-2.4190263432641408</v>
      </c>
      <c r="E599" s="4"/>
      <c r="F599" s="2"/>
      <c r="G599" s="2"/>
      <c r="H599" s="5" t="e">
        <f t="shared" si="28"/>
        <v>#VALUE!</v>
      </c>
      <c r="I599" s="5" t="e">
        <f t="shared" si="29"/>
        <v>#VALUE!</v>
      </c>
      <c r="J599" s="5">
        <f>ROUNDDOWN(INDEX(ログ!S:S,$F$11+ROW(A598)-1) * $F$8,0)</f>
        <v>0</v>
      </c>
    </row>
    <row r="600" spans="1:10">
      <c r="A600" t="str">
        <f>INDEX(ログ!A:A,$F$11+ROW(A599)-1)</f>
        <v xml:space="preserve">  4 :  0  0  1</v>
      </c>
      <c r="B600" s="6">
        <f>INDEX(ログ!N:N,$F$11+ROW(A599)-1)*$G$5</f>
        <v>0</v>
      </c>
      <c r="C600" s="6">
        <f t="shared" si="30"/>
        <v>-1.2095131716320704</v>
      </c>
      <c r="D600" s="6">
        <f>SUBSTITUTE(INDEX(ログ!P:P,$F$11+ROW(A599)-1),":","")*$G$5</f>
        <v>-2.4190263432641408</v>
      </c>
      <c r="E600" s="4"/>
      <c r="F600" s="2"/>
      <c r="G600" s="2"/>
      <c r="H600" s="5" t="e">
        <f t="shared" si="28"/>
        <v>#VALUE!</v>
      </c>
      <c r="I600" s="5" t="e">
        <f t="shared" si="29"/>
        <v>#VALUE!</v>
      </c>
      <c r="J600" s="5">
        <f>ROUNDDOWN(INDEX(ログ!S:S,$F$11+ROW(A599)-1) * $F$8,0)</f>
        <v>0</v>
      </c>
    </row>
    <row r="601" spans="1:10">
      <c r="A601" t="str">
        <f>INDEX(ログ!A:A,$F$11+ROW(A600)-1)</f>
        <v xml:space="preserve">  4 :  0  0  1</v>
      </c>
      <c r="B601" s="6">
        <f>INDEX(ログ!N:N,$F$11+ROW(A600)-1)*$G$5</f>
        <v>0</v>
      </c>
      <c r="C601" s="6">
        <f t="shared" si="30"/>
        <v>-1.2095131716320704</v>
      </c>
      <c r="D601" s="6">
        <f>SUBSTITUTE(INDEX(ログ!P:P,$F$11+ROW(A600)-1),":","")*$G$5</f>
        <v>-2.4190263432641408</v>
      </c>
      <c r="E601" s="4"/>
      <c r="F601" s="2"/>
      <c r="G601" s="2"/>
      <c r="H601" s="5" t="e">
        <f t="shared" si="28"/>
        <v>#VALUE!</v>
      </c>
      <c r="I601" s="5" t="e">
        <f t="shared" si="29"/>
        <v>#VALUE!</v>
      </c>
      <c r="J601" s="5">
        <f>ROUNDDOWN(INDEX(ログ!S:S,$F$11+ROW(A600)-1) * $F$8,0)</f>
        <v>0</v>
      </c>
    </row>
    <row r="602" spans="1:10">
      <c r="A602" t="str">
        <f>INDEX(ログ!A:A,$F$11+ROW(A601)-1)</f>
        <v xml:space="preserve">  4 :  0  0  1</v>
      </c>
      <c r="B602" s="6">
        <f>INDEX(ログ!N:N,$F$11+ROW(A601)-1)*$G$5</f>
        <v>0</v>
      </c>
      <c r="C602" s="6">
        <f t="shared" si="30"/>
        <v>-1.2095131716320704</v>
      </c>
      <c r="D602" s="6">
        <f>SUBSTITUTE(INDEX(ログ!P:P,$F$11+ROW(A601)-1),":","")*$G$5</f>
        <v>-2.4190263432641408</v>
      </c>
      <c r="E602" s="4"/>
      <c r="F602" s="2"/>
      <c r="G602" s="2"/>
      <c r="H602" s="5" t="e">
        <f t="shared" si="28"/>
        <v>#VALUE!</v>
      </c>
      <c r="I602" s="5" t="e">
        <f t="shared" si="29"/>
        <v>#VALUE!</v>
      </c>
      <c r="J602" s="5">
        <f>ROUNDDOWN(INDEX(ログ!S:S,$F$11+ROW(A601)-1) * $F$8,0)</f>
        <v>0</v>
      </c>
    </row>
    <row r="603" spans="1:10">
      <c r="A603" t="str">
        <f>INDEX(ログ!A:A,$F$11+ROW(A602)-1)</f>
        <v xml:space="preserve">  4 :  0  0  1</v>
      </c>
      <c r="B603" s="6">
        <f>INDEX(ログ!N:N,$F$11+ROW(A602)-1)*$G$5</f>
        <v>0</v>
      </c>
      <c r="C603" s="6">
        <f t="shared" si="30"/>
        <v>-1.2095131716320704</v>
      </c>
      <c r="D603" s="6">
        <f>SUBSTITUTE(INDEX(ログ!P:P,$F$11+ROW(A602)-1),":","")*$G$5</f>
        <v>-2.4190263432641408</v>
      </c>
      <c r="E603" s="4"/>
      <c r="F603" s="2"/>
      <c r="G603" s="2"/>
      <c r="H603" s="5" t="e">
        <f t="shared" si="28"/>
        <v>#VALUE!</v>
      </c>
      <c r="I603" s="5" t="e">
        <f t="shared" si="29"/>
        <v>#VALUE!</v>
      </c>
      <c r="J603" s="5">
        <f>ROUNDDOWN(INDEX(ログ!S:S,$F$11+ROW(A602)-1) * $F$8,0)</f>
        <v>0</v>
      </c>
    </row>
    <row r="604" spans="1:10">
      <c r="A604" t="str">
        <f>INDEX(ログ!A:A,$F$11+ROW(A603)-1)</f>
        <v xml:space="preserve">  4 :  0  0  1</v>
      </c>
      <c r="B604" s="6">
        <f>INDEX(ログ!N:N,$F$11+ROW(A603)-1)*$G$5</f>
        <v>0</v>
      </c>
      <c r="C604" s="6">
        <f t="shared" si="30"/>
        <v>-1.2095131716320704</v>
      </c>
      <c r="D604" s="6">
        <f>SUBSTITUTE(INDEX(ログ!P:P,$F$11+ROW(A603)-1),":","")*$G$5</f>
        <v>-2.4190263432641408</v>
      </c>
      <c r="E604" s="4"/>
      <c r="F604" s="2"/>
      <c r="G604" s="2"/>
      <c r="H604" s="5" t="e">
        <f t="shared" si="28"/>
        <v>#VALUE!</v>
      </c>
      <c r="I604" s="5" t="e">
        <f t="shared" si="29"/>
        <v>#VALUE!</v>
      </c>
      <c r="J604" s="5">
        <f>ROUNDDOWN(INDEX(ログ!S:S,$F$11+ROW(A603)-1) * $F$8,0)</f>
        <v>0</v>
      </c>
    </row>
    <row r="605" spans="1:10">
      <c r="A605" t="str">
        <f>INDEX(ログ!A:A,$F$11+ROW(A604)-1)</f>
        <v xml:space="preserve">  4 :  0  0  1</v>
      </c>
      <c r="B605" s="6">
        <f>INDEX(ログ!N:N,$F$11+ROW(A604)-1)*$G$5</f>
        <v>0</v>
      </c>
      <c r="C605" s="6">
        <f t="shared" si="30"/>
        <v>-1.2095131716320704</v>
      </c>
      <c r="D605" s="6">
        <f>SUBSTITUTE(INDEX(ログ!P:P,$F$11+ROW(A604)-1),":","")*$G$5</f>
        <v>-2.4190263432641408</v>
      </c>
      <c r="E605" s="4"/>
      <c r="F605" s="2"/>
      <c r="G605" s="2"/>
      <c r="H605" s="5" t="e">
        <f t="shared" si="28"/>
        <v>#VALUE!</v>
      </c>
      <c r="I605" s="5" t="e">
        <f t="shared" si="29"/>
        <v>#VALUE!</v>
      </c>
      <c r="J605" s="5">
        <f>ROUNDDOWN(INDEX(ログ!S:S,$F$11+ROW(A604)-1) * $F$8,0)</f>
        <v>0</v>
      </c>
    </row>
    <row r="606" spans="1:10">
      <c r="A606" t="str">
        <f>INDEX(ログ!A:A,$F$11+ROW(A605)-1)</f>
        <v xml:space="preserve">  4 :  0  0  1</v>
      </c>
      <c r="B606" s="6">
        <f>INDEX(ログ!N:N,$F$11+ROW(A605)-1)*$G$5</f>
        <v>0</v>
      </c>
      <c r="C606" s="6">
        <f t="shared" si="30"/>
        <v>-1.2095131716320704</v>
      </c>
      <c r="D606" s="6">
        <f>SUBSTITUTE(INDEX(ログ!P:P,$F$11+ROW(A605)-1),":","")*$G$5</f>
        <v>-2.4190263432641408</v>
      </c>
      <c r="E606" s="4"/>
      <c r="F606" s="2"/>
      <c r="G606" s="2"/>
      <c r="H606" s="5" t="e">
        <f t="shared" si="28"/>
        <v>#VALUE!</v>
      </c>
      <c r="I606" s="5" t="e">
        <f t="shared" si="29"/>
        <v>#VALUE!</v>
      </c>
      <c r="J606" s="5">
        <f>ROUNDDOWN(INDEX(ログ!S:S,$F$11+ROW(A605)-1) * $F$8,0)</f>
        <v>0</v>
      </c>
    </row>
    <row r="607" spans="1:10">
      <c r="A607" t="str">
        <f>INDEX(ログ!A:A,$F$11+ROW(A606)-1)</f>
        <v xml:space="preserve">  4 :  0  0  1</v>
      </c>
      <c r="B607" s="6">
        <f>INDEX(ログ!N:N,$F$11+ROW(A606)-1)*$G$5</f>
        <v>0</v>
      </c>
      <c r="C607" s="6">
        <f t="shared" si="30"/>
        <v>-1.2095131716320704</v>
      </c>
      <c r="D607" s="6">
        <f>SUBSTITUTE(INDEX(ログ!P:P,$F$11+ROW(A606)-1),":","")*$G$5</f>
        <v>-2.4190263432641408</v>
      </c>
      <c r="E607" s="4"/>
      <c r="F607" s="2"/>
      <c r="G607" s="2"/>
      <c r="H607" s="5" t="e">
        <f t="shared" si="28"/>
        <v>#VALUE!</v>
      </c>
      <c r="I607" s="5" t="e">
        <f t="shared" si="29"/>
        <v>#VALUE!</v>
      </c>
      <c r="J607" s="5">
        <f>ROUNDDOWN(INDEX(ログ!S:S,$F$11+ROW(A606)-1) * $F$8,0)</f>
        <v>0</v>
      </c>
    </row>
    <row r="608" spans="1:10">
      <c r="A608" t="str">
        <f>INDEX(ログ!A:A,$F$11+ROW(A607)-1)</f>
        <v xml:space="preserve">  4 :  0  0  1</v>
      </c>
      <c r="B608" s="6">
        <f>INDEX(ログ!N:N,$F$11+ROW(A607)-1)*$G$5</f>
        <v>0</v>
      </c>
      <c r="C608" s="6">
        <f t="shared" si="30"/>
        <v>-1.2095131716320704</v>
      </c>
      <c r="D608" s="6">
        <f>SUBSTITUTE(INDEX(ログ!P:P,$F$11+ROW(A607)-1),":","")*$G$5</f>
        <v>-2.4190263432641408</v>
      </c>
      <c r="E608" s="4"/>
      <c r="F608" s="2"/>
      <c r="G608" s="2"/>
      <c r="H608" s="5" t="e">
        <f t="shared" si="28"/>
        <v>#VALUE!</v>
      </c>
      <c r="I608" s="5" t="e">
        <f t="shared" si="29"/>
        <v>#VALUE!</v>
      </c>
      <c r="J608" s="5">
        <f>ROUNDDOWN(INDEX(ログ!S:S,$F$11+ROW(A607)-1) * $F$8,0)</f>
        <v>0</v>
      </c>
    </row>
    <row r="609" spans="1:10">
      <c r="A609" t="str">
        <f>INDEX(ログ!A:A,$F$11+ROW(A608)-1)</f>
        <v xml:space="preserve">  4 :  0  0  1</v>
      </c>
      <c r="B609" s="6">
        <f>INDEX(ログ!N:N,$F$11+ROW(A608)-1)*$G$5</f>
        <v>0</v>
      </c>
      <c r="C609" s="6">
        <f t="shared" si="30"/>
        <v>-1.2095131716320704</v>
      </c>
      <c r="D609" s="6">
        <f>SUBSTITUTE(INDEX(ログ!P:P,$F$11+ROW(A608)-1),":","")*$G$5</f>
        <v>-2.4190263432641408</v>
      </c>
      <c r="E609" s="4"/>
      <c r="F609" s="2"/>
      <c r="G609" s="2"/>
      <c r="H609" s="5" t="e">
        <f t="shared" si="28"/>
        <v>#VALUE!</v>
      </c>
      <c r="I609" s="5" t="e">
        <f t="shared" si="29"/>
        <v>#VALUE!</v>
      </c>
      <c r="J609" s="5">
        <f>ROUNDDOWN(INDEX(ログ!S:S,$F$11+ROW(A608)-1) * $F$8,0)</f>
        <v>0</v>
      </c>
    </row>
    <row r="610" spans="1:10">
      <c r="A610" t="str">
        <f>INDEX(ログ!A:A,$F$11+ROW(A609)-1)</f>
        <v xml:space="preserve">  4 :  0  0  1</v>
      </c>
      <c r="B610" s="6">
        <f>INDEX(ログ!N:N,$F$11+ROW(A609)-1)*$G$5</f>
        <v>0</v>
      </c>
      <c r="C610" s="6">
        <f t="shared" si="30"/>
        <v>-1.2095131716320704</v>
      </c>
      <c r="D610" s="6">
        <f>SUBSTITUTE(INDEX(ログ!P:P,$F$11+ROW(A609)-1),":","")*$G$5</f>
        <v>-2.4190263432641408</v>
      </c>
      <c r="E610" s="4"/>
      <c r="F610" s="2"/>
      <c r="G610" s="2"/>
      <c r="H610" s="5" t="e">
        <f t="shared" si="28"/>
        <v>#VALUE!</v>
      </c>
      <c r="I610" s="5" t="e">
        <f t="shared" si="29"/>
        <v>#VALUE!</v>
      </c>
      <c r="J610" s="5">
        <f>ROUNDDOWN(INDEX(ログ!S:S,$F$11+ROW(A609)-1) * $F$8,0)</f>
        <v>0</v>
      </c>
    </row>
    <row r="611" spans="1:10">
      <c r="A611" t="str">
        <f>INDEX(ログ!A:A,$F$11+ROW(A610)-1)</f>
        <v xml:space="preserve">  4 :  0  0  1</v>
      </c>
      <c r="B611" s="6">
        <f>INDEX(ログ!N:N,$F$11+ROW(A610)-1)*$G$5</f>
        <v>0</v>
      </c>
      <c r="C611" s="6">
        <f t="shared" si="30"/>
        <v>-1.2095131716320704</v>
      </c>
      <c r="D611" s="6">
        <f>SUBSTITUTE(INDEX(ログ!P:P,$F$11+ROW(A610)-1),":","")*$G$5</f>
        <v>-2.4190263432641408</v>
      </c>
      <c r="E611" s="4"/>
      <c r="F611" s="2"/>
      <c r="G611" s="2"/>
      <c r="H611" s="5" t="e">
        <f t="shared" si="28"/>
        <v>#VALUE!</v>
      </c>
      <c r="I611" s="5" t="e">
        <f t="shared" si="29"/>
        <v>#VALUE!</v>
      </c>
      <c r="J611" s="5">
        <f>ROUNDDOWN(INDEX(ログ!S:S,$F$11+ROW(A610)-1) * $F$8,0)</f>
        <v>0</v>
      </c>
    </row>
    <row r="612" spans="1:10">
      <c r="A612" t="str">
        <f>INDEX(ログ!A:A,$F$11+ROW(A611)-1)</f>
        <v xml:space="preserve">  4 :  0  0  1</v>
      </c>
      <c r="B612" s="6">
        <f>INDEX(ログ!N:N,$F$11+ROW(A611)-1)*$G$5</f>
        <v>0</v>
      </c>
      <c r="C612" s="6">
        <f t="shared" si="30"/>
        <v>-1.2095131716320704</v>
      </c>
      <c r="D612" s="6">
        <f>SUBSTITUTE(INDEX(ログ!P:P,$F$11+ROW(A611)-1),":","")*$G$5</f>
        <v>-2.4190263432641408</v>
      </c>
      <c r="E612" s="4"/>
      <c r="F612" s="2"/>
      <c r="G612" s="2"/>
      <c r="H612" s="5" t="e">
        <f t="shared" si="28"/>
        <v>#VALUE!</v>
      </c>
      <c r="I612" s="5" t="e">
        <f t="shared" si="29"/>
        <v>#VALUE!</v>
      </c>
      <c r="J612" s="5">
        <f>ROUNDDOWN(INDEX(ログ!S:S,$F$11+ROW(A611)-1) * $F$8,0)</f>
        <v>0</v>
      </c>
    </row>
    <row r="613" spans="1:10">
      <c r="A613" t="str">
        <f>INDEX(ログ!A:A,$F$11+ROW(A612)-1)</f>
        <v xml:space="preserve">  4 :  0  0  1</v>
      </c>
      <c r="B613" s="6">
        <f>INDEX(ログ!N:N,$F$11+ROW(A612)-1)*$G$5</f>
        <v>0</v>
      </c>
      <c r="C613" s="6">
        <f t="shared" si="30"/>
        <v>-1.2095131716320704</v>
      </c>
      <c r="D613" s="6">
        <f>SUBSTITUTE(INDEX(ログ!P:P,$F$11+ROW(A612)-1),":","")*$G$5</f>
        <v>-2.4190263432641408</v>
      </c>
      <c r="E613" s="4"/>
      <c r="F613" s="2"/>
      <c r="G613" s="2"/>
      <c r="H613" s="5" t="e">
        <f t="shared" si="28"/>
        <v>#VALUE!</v>
      </c>
      <c r="I613" s="5" t="e">
        <f t="shared" si="29"/>
        <v>#VALUE!</v>
      </c>
      <c r="J613" s="5">
        <f>ROUNDDOWN(INDEX(ログ!S:S,$F$11+ROW(A612)-1) * $F$8,0)</f>
        <v>0</v>
      </c>
    </row>
    <row r="614" spans="1:10">
      <c r="A614" t="str">
        <f>INDEX(ログ!A:A,$F$11+ROW(A613)-1)</f>
        <v xml:space="preserve">  4 :  0  0  1</v>
      </c>
      <c r="B614" s="6">
        <f>INDEX(ログ!N:N,$F$11+ROW(A613)-1)*$G$5</f>
        <v>0</v>
      </c>
      <c r="C614" s="6">
        <f t="shared" si="30"/>
        <v>-1.2095131716320704</v>
      </c>
      <c r="D614" s="6">
        <f>SUBSTITUTE(INDEX(ログ!P:P,$F$11+ROW(A613)-1),":","")*$G$5</f>
        <v>-2.4190263432641408</v>
      </c>
      <c r="E614" s="4"/>
      <c r="F614" s="2"/>
      <c r="G614" s="2"/>
      <c r="H614" s="5" t="e">
        <f t="shared" si="28"/>
        <v>#VALUE!</v>
      </c>
      <c r="I614" s="5" t="e">
        <f t="shared" si="29"/>
        <v>#VALUE!</v>
      </c>
      <c r="J614" s="5">
        <f>ROUNDDOWN(INDEX(ログ!S:S,$F$11+ROW(A613)-1) * $F$8,0)</f>
        <v>0</v>
      </c>
    </row>
    <row r="615" spans="1:10">
      <c r="A615" t="str">
        <f>INDEX(ログ!A:A,$F$11+ROW(A614)-1)</f>
        <v xml:space="preserve">  4 :  0  0  1</v>
      </c>
      <c r="B615" s="6">
        <f>INDEX(ログ!N:N,$F$11+ROW(A614)-1)*$G$5</f>
        <v>0</v>
      </c>
      <c r="C615" s="6">
        <f t="shared" si="30"/>
        <v>-1.2095131716320704</v>
      </c>
      <c r="D615" s="6">
        <f>SUBSTITUTE(INDEX(ログ!P:P,$F$11+ROW(A614)-1),":","")*$G$5</f>
        <v>-2.4190263432641408</v>
      </c>
      <c r="E615" s="4"/>
      <c r="F615" s="2"/>
      <c r="G615" s="2"/>
      <c r="H615" s="5" t="e">
        <f t="shared" si="28"/>
        <v>#VALUE!</v>
      </c>
      <c r="I615" s="5" t="e">
        <f t="shared" si="29"/>
        <v>#VALUE!</v>
      </c>
      <c r="J615" s="5">
        <f>ROUNDDOWN(INDEX(ログ!S:S,$F$11+ROW(A614)-1) * $F$8,0)</f>
        <v>0</v>
      </c>
    </row>
    <row r="616" spans="1:10">
      <c r="A616" t="str">
        <f>INDEX(ログ!A:A,$F$11+ROW(A615)-1)</f>
        <v xml:space="preserve">  4 :  0  0  1</v>
      </c>
      <c r="B616" s="6">
        <f>INDEX(ログ!N:N,$F$11+ROW(A615)-1)*$G$5</f>
        <v>0</v>
      </c>
      <c r="C616" s="6">
        <f t="shared" si="30"/>
        <v>-1.2095131716320704</v>
      </c>
      <c r="D616" s="6">
        <f>SUBSTITUTE(INDEX(ログ!P:P,$F$11+ROW(A615)-1),":","")*$G$5</f>
        <v>-2.4190263432641408</v>
      </c>
      <c r="E616" s="4"/>
      <c r="F616" s="2"/>
      <c r="G616" s="2"/>
      <c r="H616" s="5" t="e">
        <f t="shared" si="28"/>
        <v>#VALUE!</v>
      </c>
      <c r="I616" s="5" t="e">
        <f t="shared" si="29"/>
        <v>#VALUE!</v>
      </c>
      <c r="J616" s="5">
        <f>ROUNDDOWN(INDEX(ログ!S:S,$F$11+ROW(A615)-1) * $F$8,0)</f>
        <v>0</v>
      </c>
    </row>
    <row r="617" spans="1:10">
      <c r="A617" t="str">
        <f>INDEX(ログ!A:A,$F$11+ROW(A616)-1)</f>
        <v xml:space="preserve">  4 :  0  0  1</v>
      </c>
      <c r="B617" s="6">
        <f>INDEX(ログ!N:N,$F$11+ROW(A616)-1)*$G$5</f>
        <v>0</v>
      </c>
      <c r="C617" s="6">
        <f t="shared" si="30"/>
        <v>-1.2095131716320704</v>
      </c>
      <c r="D617" s="6">
        <f>SUBSTITUTE(INDEX(ログ!P:P,$F$11+ROW(A616)-1),":","")*$G$5</f>
        <v>-2.4190263432641408</v>
      </c>
      <c r="E617" s="4"/>
      <c r="F617" s="2"/>
      <c r="G617" s="2"/>
      <c r="H617" s="5" t="e">
        <f t="shared" si="28"/>
        <v>#VALUE!</v>
      </c>
      <c r="I617" s="5" t="e">
        <f t="shared" si="29"/>
        <v>#VALUE!</v>
      </c>
      <c r="J617" s="5">
        <f>ROUNDDOWN(INDEX(ログ!S:S,$F$11+ROW(A616)-1) * $F$8,0)</f>
        <v>0</v>
      </c>
    </row>
    <row r="618" spans="1:10">
      <c r="A618" t="str">
        <f>INDEX(ログ!A:A,$F$11+ROW(A617)-1)</f>
        <v xml:space="preserve">  4 :  0  0  1</v>
      </c>
      <c r="B618" s="6">
        <f>INDEX(ログ!N:N,$F$11+ROW(A617)-1)*$G$5</f>
        <v>0.34557519189487723</v>
      </c>
      <c r="C618" s="6">
        <f t="shared" si="30"/>
        <v>-1.0367255756846319</v>
      </c>
      <c r="D618" s="6">
        <f>SUBSTITUTE(INDEX(ログ!P:P,$F$11+ROW(A617)-1),":","")*$G$5</f>
        <v>-2.4190263432641408</v>
      </c>
      <c r="E618" s="4"/>
      <c r="F618" s="2"/>
      <c r="G618" s="2"/>
      <c r="H618" s="5" t="e">
        <f t="shared" si="28"/>
        <v>#VALUE!</v>
      </c>
      <c r="I618" s="5" t="e">
        <f t="shared" si="29"/>
        <v>#VALUE!</v>
      </c>
      <c r="J618" s="5">
        <f>ROUNDDOWN(INDEX(ログ!S:S,$F$11+ROW(A617)-1) * $F$8,0)</f>
        <v>0</v>
      </c>
    </row>
    <row r="619" spans="1:10">
      <c r="A619" t="str">
        <f>INDEX(ログ!A:A,$F$11+ROW(A618)-1)</f>
        <v xml:space="preserve">  4 :  0  0  1</v>
      </c>
      <c r="B619" s="6">
        <f>INDEX(ログ!N:N,$F$11+ROW(A618)-1)*$G$5</f>
        <v>0.34557519189487723</v>
      </c>
      <c r="C619" s="6">
        <f t="shared" si="30"/>
        <v>-1.2095131716320704</v>
      </c>
      <c r="D619" s="6">
        <f>SUBSTITUTE(INDEX(ログ!P:P,$F$11+ROW(A618)-1),":","")*$G$5</f>
        <v>-2.7646015351590179</v>
      </c>
      <c r="E619" s="4"/>
      <c r="F619" s="2"/>
      <c r="G619" s="2"/>
      <c r="H619" s="5" t="e">
        <f t="shared" si="28"/>
        <v>#VALUE!</v>
      </c>
      <c r="I619" s="5" t="e">
        <f t="shared" si="29"/>
        <v>#VALUE!</v>
      </c>
      <c r="J619" s="5">
        <f>ROUNDDOWN(INDEX(ログ!S:S,$F$11+ROW(A618)-1) * $F$8,0)</f>
        <v>0</v>
      </c>
    </row>
    <row r="620" spans="1:10">
      <c r="A620" t="str">
        <f>INDEX(ログ!A:A,$F$11+ROW(A619)-1)</f>
        <v xml:space="preserve">  4 :  0  0  1</v>
      </c>
      <c r="B620" s="6">
        <f>INDEX(ログ!N:N,$F$11+ROW(A619)-1)*$G$5</f>
        <v>0</v>
      </c>
      <c r="C620" s="6" t="e">
        <f t="shared" si="30"/>
        <v>#VALUE!</v>
      </c>
      <c r="D620" s="6" t="e">
        <f>SUBSTITUTE(INDEX(ログ!P:P,$F$11+ROW(A619)-1),":","")*$G$5</f>
        <v>#VALUE!</v>
      </c>
      <c r="E620" s="4"/>
      <c r="F620" s="2"/>
      <c r="G620" s="2"/>
      <c r="H620" s="5" t="e">
        <f t="shared" si="28"/>
        <v>#VALUE!</v>
      </c>
      <c r="I620" s="5" t="e">
        <f t="shared" si="29"/>
        <v>#VALUE!</v>
      </c>
      <c r="J620" s="5">
        <f>ROUNDDOWN(INDEX(ログ!S:S,$F$11+ROW(A619)-1) * $F$8,0)</f>
        <v>0</v>
      </c>
    </row>
    <row r="621" spans="1:10">
      <c r="A621">
        <f>INDEX(ログ!A:A,$F$11+ROW(A620)-1)</f>
        <v>0</v>
      </c>
      <c r="B621" s="6">
        <f>INDEX(ログ!N:N,$F$11+ROW(A620)-1)*$G$5</f>
        <v>0</v>
      </c>
      <c r="C621" s="6" t="e">
        <f t="shared" si="30"/>
        <v>#VALUE!</v>
      </c>
      <c r="D621" s="6" t="e">
        <f>SUBSTITUTE(INDEX(ログ!P:P,$F$11+ROW(A620)-1),":","")*$G$5</f>
        <v>#VALUE!</v>
      </c>
      <c r="E621" s="4"/>
      <c r="F621" s="2"/>
      <c r="G621" s="2"/>
      <c r="H621" s="5" t="e">
        <f t="shared" si="28"/>
        <v>#VALUE!</v>
      </c>
      <c r="I621" s="5" t="e">
        <f t="shared" si="29"/>
        <v>#VALUE!</v>
      </c>
      <c r="J621" s="5">
        <f>ROUNDDOWN(INDEX(ログ!S:S,$F$11+ROW(A620)-1) * $F$8,0)</f>
        <v>0</v>
      </c>
    </row>
    <row r="622" spans="1:10">
      <c r="A622">
        <f>INDEX(ログ!A:A,$F$11+ROW(A621)-1)</f>
        <v>0</v>
      </c>
      <c r="B622" s="6">
        <f>INDEX(ログ!N:N,$F$11+ROW(A621)-1)*$G$5</f>
        <v>0</v>
      </c>
      <c r="C622" s="6" t="e">
        <f t="shared" si="30"/>
        <v>#VALUE!</v>
      </c>
      <c r="D622" s="6" t="e">
        <f>SUBSTITUTE(INDEX(ログ!P:P,$F$11+ROW(A621)-1),":","")*$G$5</f>
        <v>#VALUE!</v>
      </c>
      <c r="E622" s="4"/>
      <c r="F622" s="2"/>
      <c r="G622" s="2"/>
      <c r="H622" s="5" t="e">
        <f t="shared" si="28"/>
        <v>#VALUE!</v>
      </c>
      <c r="I622" s="5" t="e">
        <f t="shared" si="29"/>
        <v>#VALUE!</v>
      </c>
      <c r="J622" s="5">
        <f>ROUNDDOWN(INDEX(ログ!S:S,$F$11+ROW(A621)-1) * $F$8,0)</f>
        <v>0</v>
      </c>
    </row>
    <row r="623" spans="1:10">
      <c r="A623">
        <f>INDEX(ログ!A:A,$F$11+ROW(A622)-1)</f>
        <v>0</v>
      </c>
      <c r="B623" s="6">
        <f>INDEX(ログ!N:N,$F$11+ROW(A622)-1)*$G$5</f>
        <v>0</v>
      </c>
      <c r="C623" s="6" t="e">
        <f t="shared" si="30"/>
        <v>#VALUE!</v>
      </c>
      <c r="D623" s="6" t="e">
        <f>SUBSTITUTE(INDEX(ログ!P:P,$F$11+ROW(A622)-1),":","")*$G$5</f>
        <v>#VALUE!</v>
      </c>
      <c r="E623" s="4"/>
      <c r="F623" s="2"/>
      <c r="G623" s="2"/>
      <c r="H623" s="5" t="e">
        <f t="shared" si="28"/>
        <v>#VALUE!</v>
      </c>
      <c r="I623" s="5" t="e">
        <f t="shared" si="29"/>
        <v>#VALUE!</v>
      </c>
      <c r="J623" s="5">
        <f>ROUNDDOWN(INDEX(ログ!S:S,$F$11+ROW(A622)-1) * $F$8,0)</f>
        <v>0</v>
      </c>
    </row>
    <row r="624" spans="1:10">
      <c r="A624">
        <f>INDEX(ログ!A:A,$F$11+ROW(A623)-1)</f>
        <v>0</v>
      </c>
      <c r="B624" s="6">
        <f>INDEX(ログ!N:N,$F$11+ROW(A623)-1)*$G$5</f>
        <v>0</v>
      </c>
      <c r="C624" s="6" t="e">
        <f t="shared" si="30"/>
        <v>#VALUE!</v>
      </c>
      <c r="D624" s="6" t="e">
        <f>SUBSTITUTE(INDEX(ログ!P:P,$F$11+ROW(A623)-1),":","")*$G$5</f>
        <v>#VALUE!</v>
      </c>
      <c r="E624" s="4"/>
      <c r="F624" s="2"/>
      <c r="G624" s="2"/>
      <c r="H624" s="5" t="e">
        <f t="shared" si="28"/>
        <v>#VALUE!</v>
      </c>
      <c r="I624" s="5" t="e">
        <f t="shared" si="29"/>
        <v>#VALUE!</v>
      </c>
      <c r="J624" s="5">
        <f>ROUNDDOWN(INDEX(ログ!S:S,$F$11+ROW(A623)-1) * $F$8,0)</f>
        <v>0</v>
      </c>
    </row>
    <row r="625" spans="1:10">
      <c r="A625">
        <f>INDEX(ログ!A:A,$F$11+ROW(A624)-1)</f>
        <v>0</v>
      </c>
      <c r="B625" s="6">
        <f>INDEX(ログ!N:N,$F$11+ROW(A624)-1)*$G$5</f>
        <v>0</v>
      </c>
      <c r="C625" s="6" t="e">
        <f t="shared" si="30"/>
        <v>#VALUE!</v>
      </c>
      <c r="D625" s="6" t="e">
        <f>SUBSTITUTE(INDEX(ログ!P:P,$F$11+ROW(A624)-1),":","")*$G$5</f>
        <v>#VALUE!</v>
      </c>
      <c r="E625" s="4"/>
      <c r="F625" s="2"/>
      <c r="G625" s="2"/>
      <c r="H625" s="5" t="e">
        <f t="shared" si="28"/>
        <v>#VALUE!</v>
      </c>
      <c r="I625" s="5" t="e">
        <f t="shared" si="29"/>
        <v>#VALUE!</v>
      </c>
      <c r="J625" s="5">
        <f>ROUNDDOWN(INDEX(ログ!S:S,$F$11+ROW(A624)-1) * $F$8,0)</f>
        <v>0</v>
      </c>
    </row>
    <row r="626" spans="1:10">
      <c r="A626">
        <f>INDEX(ログ!A:A,$F$11+ROW(A625)-1)</f>
        <v>0</v>
      </c>
      <c r="B626" s="6">
        <f>INDEX(ログ!N:N,$F$11+ROW(A625)-1)*$G$5</f>
        <v>0</v>
      </c>
      <c r="C626" s="6" t="e">
        <f t="shared" si="30"/>
        <v>#VALUE!</v>
      </c>
      <c r="D626" s="6" t="e">
        <f>SUBSTITUTE(INDEX(ログ!P:P,$F$11+ROW(A625)-1),":","")*$G$5</f>
        <v>#VALUE!</v>
      </c>
      <c r="E626" s="4"/>
      <c r="F626" s="2"/>
      <c r="G626" s="2"/>
      <c r="H626" s="5" t="e">
        <f t="shared" si="28"/>
        <v>#VALUE!</v>
      </c>
      <c r="I626" s="5" t="e">
        <f t="shared" si="29"/>
        <v>#VALUE!</v>
      </c>
      <c r="J626" s="5">
        <f>ROUNDDOWN(INDEX(ログ!S:S,$F$11+ROW(A625)-1) * $F$8,0)</f>
        <v>0</v>
      </c>
    </row>
    <row r="627" spans="1:10">
      <c r="A627">
        <f>INDEX(ログ!A:A,$F$11+ROW(A626)-1)</f>
        <v>0</v>
      </c>
      <c r="B627" s="6">
        <f>INDEX(ログ!N:N,$F$11+ROW(A626)-1)*$G$5</f>
        <v>0</v>
      </c>
      <c r="C627" s="6" t="e">
        <f t="shared" si="30"/>
        <v>#VALUE!</v>
      </c>
      <c r="D627" s="6" t="e">
        <f>SUBSTITUTE(INDEX(ログ!P:P,$F$11+ROW(A626)-1),":","")*$G$5</f>
        <v>#VALUE!</v>
      </c>
      <c r="E627" s="4"/>
      <c r="F627" s="2"/>
      <c r="G627" s="2"/>
      <c r="H627" s="5" t="e">
        <f t="shared" si="28"/>
        <v>#VALUE!</v>
      </c>
      <c r="I627" s="5" t="e">
        <f t="shared" si="29"/>
        <v>#VALUE!</v>
      </c>
      <c r="J627" s="5">
        <f>ROUNDDOWN(INDEX(ログ!S:S,$F$11+ROW(A626)-1) * $F$8,0)</f>
        <v>0</v>
      </c>
    </row>
    <row r="628" spans="1:10">
      <c r="A628">
        <f>INDEX(ログ!A:A,$F$11+ROW(A627)-1)</f>
        <v>0</v>
      </c>
      <c r="B628" s="6">
        <f>INDEX(ログ!N:N,$F$11+ROW(A627)-1)*$G$5</f>
        <v>0</v>
      </c>
      <c r="C628" s="6" t="e">
        <f t="shared" si="30"/>
        <v>#VALUE!</v>
      </c>
      <c r="D628" s="6" t="e">
        <f>SUBSTITUTE(INDEX(ログ!P:P,$F$11+ROW(A627)-1),":","")*$G$5</f>
        <v>#VALUE!</v>
      </c>
      <c r="E628" s="4"/>
      <c r="F628" s="2"/>
      <c r="G628" s="2"/>
      <c r="H628" s="5" t="e">
        <f t="shared" si="28"/>
        <v>#VALUE!</v>
      </c>
      <c r="I628" s="5" t="e">
        <f t="shared" si="29"/>
        <v>#VALUE!</v>
      </c>
      <c r="J628" s="5">
        <f>ROUNDDOWN(INDEX(ログ!S:S,$F$11+ROW(A627)-1) * $F$8,0)</f>
        <v>0</v>
      </c>
    </row>
    <row r="629" spans="1:10">
      <c r="A629">
        <f>INDEX(ログ!A:A,$F$11+ROW(A628)-1)</f>
        <v>0</v>
      </c>
      <c r="B629" s="6">
        <f>INDEX(ログ!N:N,$F$11+ROW(A628)-1)*$G$5</f>
        <v>0</v>
      </c>
      <c r="C629" s="6" t="e">
        <f t="shared" si="30"/>
        <v>#VALUE!</v>
      </c>
      <c r="D629" s="6" t="e">
        <f>SUBSTITUTE(INDEX(ログ!P:P,$F$11+ROW(A628)-1),":","")*$G$5</f>
        <v>#VALUE!</v>
      </c>
      <c r="E629" s="4"/>
      <c r="F629" s="2"/>
      <c r="G629" s="2"/>
      <c r="H629" s="5" t="e">
        <f t="shared" si="28"/>
        <v>#VALUE!</v>
      </c>
      <c r="I629" s="5" t="e">
        <f t="shared" si="29"/>
        <v>#VALUE!</v>
      </c>
      <c r="J629" s="5">
        <f>ROUNDDOWN(INDEX(ログ!S:S,$F$11+ROW(A628)-1) * $F$8,0)</f>
        <v>0</v>
      </c>
    </row>
    <row r="630" spans="1:10">
      <c r="A630">
        <f>INDEX(ログ!A:A,$F$11+ROW(A629)-1)</f>
        <v>0</v>
      </c>
      <c r="B630" s="6">
        <f>INDEX(ログ!N:N,$F$11+ROW(A629)-1)*$G$5</f>
        <v>0</v>
      </c>
      <c r="C630" s="6" t="e">
        <f t="shared" si="30"/>
        <v>#VALUE!</v>
      </c>
      <c r="D630" s="6" t="e">
        <f>SUBSTITUTE(INDEX(ログ!P:P,$F$11+ROW(A629)-1),":","")*$G$5</f>
        <v>#VALUE!</v>
      </c>
      <c r="E630" s="4"/>
      <c r="F630" s="2"/>
      <c r="G630" s="2"/>
      <c r="H630" s="5" t="e">
        <f t="shared" si="28"/>
        <v>#VALUE!</v>
      </c>
      <c r="I630" s="5" t="e">
        <f t="shared" si="29"/>
        <v>#VALUE!</v>
      </c>
      <c r="J630" s="5">
        <f>ROUNDDOWN(INDEX(ログ!S:S,$F$11+ROW(A629)-1) * $F$8,0)</f>
        <v>0</v>
      </c>
    </row>
    <row r="631" spans="1:10">
      <c r="A631">
        <f>INDEX(ログ!A:A,$F$11+ROW(A630)-1)</f>
        <v>0</v>
      </c>
      <c r="B631" s="6">
        <f>INDEX(ログ!N:N,$F$11+ROW(A630)-1)*$G$5</f>
        <v>0</v>
      </c>
      <c r="C631" s="6" t="e">
        <f t="shared" si="30"/>
        <v>#VALUE!</v>
      </c>
      <c r="D631" s="6" t="e">
        <f>SUBSTITUTE(INDEX(ログ!P:P,$F$11+ROW(A630)-1),":","")*$G$5</f>
        <v>#VALUE!</v>
      </c>
      <c r="E631" s="4"/>
      <c r="F631" s="2"/>
      <c r="G631" s="2"/>
      <c r="H631" s="5" t="e">
        <f t="shared" si="28"/>
        <v>#VALUE!</v>
      </c>
      <c r="I631" s="5" t="e">
        <f t="shared" si="29"/>
        <v>#VALUE!</v>
      </c>
      <c r="J631" s="5">
        <f>ROUNDDOWN(INDEX(ログ!S:S,$F$11+ROW(A630)-1) * $F$8,0)</f>
        <v>0</v>
      </c>
    </row>
    <row r="632" spans="1:10">
      <c r="A632">
        <f>INDEX(ログ!A:A,$F$11+ROW(A631)-1)</f>
        <v>0</v>
      </c>
      <c r="B632" s="6">
        <f>INDEX(ログ!N:N,$F$11+ROW(A631)-1)*$G$5</f>
        <v>0</v>
      </c>
      <c r="C632" s="6" t="e">
        <f t="shared" si="30"/>
        <v>#VALUE!</v>
      </c>
      <c r="D632" s="6" t="e">
        <f>SUBSTITUTE(INDEX(ログ!P:P,$F$11+ROW(A631)-1),":","")*$G$5</f>
        <v>#VALUE!</v>
      </c>
      <c r="E632" s="4"/>
      <c r="F632" s="2"/>
      <c r="G632" s="2"/>
      <c r="H632" s="5" t="e">
        <f t="shared" si="28"/>
        <v>#VALUE!</v>
      </c>
      <c r="I632" s="5" t="e">
        <f t="shared" si="29"/>
        <v>#VALUE!</v>
      </c>
      <c r="J632" s="5">
        <f>ROUNDDOWN(INDEX(ログ!S:S,$F$11+ROW(A631)-1) * $F$8,0)</f>
        <v>0</v>
      </c>
    </row>
    <row r="633" spans="1:10">
      <c r="A633">
        <f>INDEX(ログ!A:A,$F$11+ROW(A632)-1)</f>
        <v>0</v>
      </c>
      <c r="B633" s="6">
        <f>INDEX(ログ!N:N,$F$11+ROW(A632)-1)*$G$5</f>
        <v>0</v>
      </c>
      <c r="C633" s="6" t="e">
        <f t="shared" si="30"/>
        <v>#VALUE!</v>
      </c>
      <c r="D633" s="6" t="e">
        <f>SUBSTITUTE(INDEX(ログ!P:P,$F$11+ROW(A632)-1),":","")*$G$5</f>
        <v>#VALUE!</v>
      </c>
      <c r="E633" s="4"/>
      <c r="F633" s="2"/>
      <c r="G633" s="2"/>
      <c r="H633" s="5" t="e">
        <f t="shared" si="28"/>
        <v>#VALUE!</v>
      </c>
      <c r="I633" s="5" t="e">
        <f t="shared" si="29"/>
        <v>#VALUE!</v>
      </c>
      <c r="J633" s="5">
        <f>ROUNDDOWN(INDEX(ログ!S:S,$F$11+ROW(A632)-1) * $F$8,0)</f>
        <v>0</v>
      </c>
    </row>
    <row r="634" spans="1:10">
      <c r="A634">
        <f>INDEX(ログ!A:A,$F$11+ROW(A633)-1)</f>
        <v>0</v>
      </c>
      <c r="B634" s="6">
        <f>INDEX(ログ!N:N,$F$11+ROW(A633)-1)*$G$5</f>
        <v>0</v>
      </c>
      <c r="C634" s="6" t="e">
        <f t="shared" si="30"/>
        <v>#VALUE!</v>
      </c>
      <c r="D634" s="6" t="e">
        <f>SUBSTITUTE(INDEX(ログ!P:P,$F$11+ROW(A633)-1),":","")*$G$5</f>
        <v>#VALUE!</v>
      </c>
      <c r="E634" s="4"/>
      <c r="F634" s="2"/>
      <c r="G634" s="2"/>
      <c r="H634" s="5" t="e">
        <f t="shared" si="28"/>
        <v>#VALUE!</v>
      </c>
      <c r="I634" s="5" t="e">
        <f t="shared" si="29"/>
        <v>#VALUE!</v>
      </c>
      <c r="J634" s="5">
        <f>ROUNDDOWN(INDEX(ログ!S:S,$F$11+ROW(A633)-1) * $F$8,0)</f>
        <v>0</v>
      </c>
    </row>
    <row r="635" spans="1:10">
      <c r="A635">
        <f>INDEX(ログ!A:A,$F$11+ROW(A634)-1)</f>
        <v>0</v>
      </c>
      <c r="B635" s="6">
        <f>INDEX(ログ!N:N,$F$11+ROW(A634)-1)*$G$5</f>
        <v>0</v>
      </c>
      <c r="C635" s="6" t="e">
        <f t="shared" si="30"/>
        <v>#VALUE!</v>
      </c>
      <c r="D635" s="6" t="e">
        <f>SUBSTITUTE(INDEX(ログ!P:P,$F$11+ROW(A634)-1),":","")*$G$5</f>
        <v>#VALUE!</v>
      </c>
      <c r="E635" s="4"/>
      <c r="F635" s="2"/>
      <c r="G635" s="2"/>
      <c r="H635" s="5" t="e">
        <f t="shared" si="28"/>
        <v>#VALUE!</v>
      </c>
      <c r="I635" s="5" t="e">
        <f t="shared" si="29"/>
        <v>#VALUE!</v>
      </c>
      <c r="J635" s="5">
        <f>ROUNDDOWN(INDEX(ログ!S:S,$F$11+ROW(A634)-1) * $F$8,0)</f>
        <v>0</v>
      </c>
    </row>
    <row r="636" spans="1:10">
      <c r="A636">
        <f>INDEX(ログ!A:A,$F$11+ROW(A635)-1)</f>
        <v>0</v>
      </c>
      <c r="B636" s="6">
        <f>INDEX(ログ!N:N,$F$11+ROW(A635)-1)*$G$5</f>
        <v>0</v>
      </c>
      <c r="C636" s="6" t="e">
        <f t="shared" si="30"/>
        <v>#VALUE!</v>
      </c>
      <c r="D636" s="6" t="e">
        <f>SUBSTITUTE(INDEX(ログ!P:P,$F$11+ROW(A635)-1),":","")*$G$5</f>
        <v>#VALUE!</v>
      </c>
      <c r="E636" s="4"/>
      <c r="F636" s="2"/>
      <c r="G636" s="2"/>
      <c r="H636" s="5" t="e">
        <f t="shared" si="28"/>
        <v>#VALUE!</v>
      </c>
      <c r="I636" s="5" t="e">
        <f t="shared" si="29"/>
        <v>#VALUE!</v>
      </c>
      <c r="J636" s="5">
        <f>ROUNDDOWN(INDEX(ログ!S:S,$F$11+ROW(A635)-1) * $F$8,0)</f>
        <v>0</v>
      </c>
    </row>
    <row r="637" spans="1:10">
      <c r="A637">
        <f>INDEX(ログ!A:A,$F$11+ROW(A636)-1)</f>
        <v>0</v>
      </c>
      <c r="B637" s="6">
        <f>INDEX(ログ!N:N,$F$11+ROW(A636)-1)*$G$5</f>
        <v>0</v>
      </c>
      <c r="C637" s="6" t="e">
        <f t="shared" si="30"/>
        <v>#VALUE!</v>
      </c>
      <c r="D637" s="6" t="e">
        <f>SUBSTITUTE(INDEX(ログ!P:P,$F$11+ROW(A636)-1),":","")*$G$5</f>
        <v>#VALUE!</v>
      </c>
      <c r="E637" s="4"/>
      <c r="F637" s="2"/>
      <c r="G637" s="2"/>
      <c r="H637" s="5" t="e">
        <f t="shared" si="28"/>
        <v>#VALUE!</v>
      </c>
      <c r="I637" s="5" t="e">
        <f t="shared" si="29"/>
        <v>#VALUE!</v>
      </c>
      <c r="J637" s="5">
        <f>ROUNDDOWN(INDEX(ログ!S:S,$F$11+ROW(A636)-1) * $F$8,0)</f>
        <v>0</v>
      </c>
    </row>
    <row r="638" spans="1:10">
      <c r="A638">
        <f>INDEX(ログ!A:A,$F$11+ROW(A637)-1)</f>
        <v>0</v>
      </c>
      <c r="B638" s="6">
        <f>INDEX(ログ!N:N,$F$11+ROW(A637)-1)*$G$5</f>
        <v>0</v>
      </c>
      <c r="C638" s="6" t="e">
        <f t="shared" si="30"/>
        <v>#VALUE!</v>
      </c>
      <c r="D638" s="6" t="e">
        <f>SUBSTITUTE(INDEX(ログ!P:P,$F$11+ROW(A637)-1),":","")*$G$5</f>
        <v>#VALUE!</v>
      </c>
      <c r="E638" s="4"/>
      <c r="F638" s="2"/>
      <c r="G638" s="2"/>
      <c r="H638" s="5" t="e">
        <f t="shared" si="28"/>
        <v>#VALUE!</v>
      </c>
      <c r="I638" s="5" t="e">
        <f t="shared" si="29"/>
        <v>#VALUE!</v>
      </c>
      <c r="J638" s="5">
        <f>ROUNDDOWN(INDEX(ログ!S:S,$F$11+ROW(A637)-1) * $F$8,0)</f>
        <v>0</v>
      </c>
    </row>
    <row r="639" spans="1:10">
      <c r="A639">
        <f>INDEX(ログ!A:A,$F$11+ROW(A638)-1)</f>
        <v>0</v>
      </c>
      <c r="B639" s="6">
        <f>INDEX(ログ!N:N,$F$11+ROW(A638)-1)*$G$5</f>
        <v>0</v>
      </c>
      <c r="C639" s="6" t="e">
        <f t="shared" si="30"/>
        <v>#VALUE!</v>
      </c>
      <c r="D639" s="6" t="e">
        <f>SUBSTITUTE(INDEX(ログ!P:P,$F$11+ROW(A638)-1),":","")*$G$5</f>
        <v>#VALUE!</v>
      </c>
      <c r="E639" s="4"/>
      <c r="F639" s="2"/>
      <c r="G639" s="2"/>
      <c r="H639" s="5" t="e">
        <f t="shared" ref="H639:H669" si="31">H638+(C639*COS(RADIANS(J638)))</f>
        <v>#VALUE!</v>
      </c>
      <c r="I639" s="5" t="e">
        <f t="shared" ref="I639:I669" si="32">I638+(C639*SIN(RADIANS(J638)))</f>
        <v>#VALUE!</v>
      </c>
      <c r="J639" s="5">
        <f>ROUNDDOWN(INDEX(ログ!S:S,$F$11+ROW(A638)-1) * $F$8,0)</f>
        <v>0</v>
      </c>
    </row>
    <row r="640" spans="1:10">
      <c r="A640">
        <f>INDEX(ログ!A:A,$F$11+ROW(A639)-1)</f>
        <v>0</v>
      </c>
      <c r="B640" s="6">
        <f>INDEX(ログ!N:N,$F$11+ROW(A639)-1)*$G$5</f>
        <v>0</v>
      </c>
      <c r="C640" s="6" t="e">
        <f t="shared" si="30"/>
        <v>#VALUE!</v>
      </c>
      <c r="D640" s="6" t="e">
        <f>SUBSTITUTE(INDEX(ログ!P:P,$F$11+ROW(A639)-1),":","")*$G$5</f>
        <v>#VALUE!</v>
      </c>
      <c r="E640" s="4"/>
      <c r="F640" s="2"/>
      <c r="G640" s="2"/>
      <c r="H640" s="5" t="e">
        <f t="shared" si="31"/>
        <v>#VALUE!</v>
      </c>
      <c r="I640" s="5" t="e">
        <f t="shared" si="32"/>
        <v>#VALUE!</v>
      </c>
      <c r="J640" s="5">
        <f>ROUNDDOWN(INDEX(ログ!S:S,$F$11+ROW(A639)-1) * $F$8,0)</f>
        <v>0</v>
      </c>
    </row>
    <row r="641" spans="1:10">
      <c r="A641">
        <f>INDEX(ログ!A:A,$F$11+ROW(A640)-1)</f>
        <v>0</v>
      </c>
      <c r="B641" s="6">
        <f>INDEX(ログ!N:N,$F$11+ROW(A640)-1)*$G$5</f>
        <v>0</v>
      </c>
      <c r="C641" s="6" t="e">
        <f t="shared" si="30"/>
        <v>#VALUE!</v>
      </c>
      <c r="D641" s="6" t="e">
        <f>SUBSTITUTE(INDEX(ログ!P:P,$F$11+ROW(A640)-1),":","")*$G$5</f>
        <v>#VALUE!</v>
      </c>
      <c r="E641" s="4"/>
      <c r="F641" s="2"/>
      <c r="G641" s="2"/>
      <c r="H641" s="5" t="e">
        <f t="shared" si="31"/>
        <v>#VALUE!</v>
      </c>
      <c r="I641" s="5" t="e">
        <f t="shared" si="32"/>
        <v>#VALUE!</v>
      </c>
      <c r="J641" s="5">
        <f>ROUNDDOWN(INDEX(ログ!S:S,$F$11+ROW(A640)-1) * $F$8,0)</f>
        <v>0</v>
      </c>
    </row>
    <row r="642" spans="1:10">
      <c r="A642">
        <f>INDEX(ログ!A:A,$F$11+ROW(A641)-1)</f>
        <v>0</v>
      </c>
      <c r="B642" s="6">
        <f>INDEX(ログ!N:N,$F$11+ROW(A641)-1)*$G$5</f>
        <v>0</v>
      </c>
      <c r="C642" s="6" t="e">
        <f t="shared" si="30"/>
        <v>#VALUE!</v>
      </c>
      <c r="D642" s="6" t="e">
        <f>SUBSTITUTE(INDEX(ログ!P:P,$F$11+ROW(A641)-1),":","")*$G$5</f>
        <v>#VALUE!</v>
      </c>
      <c r="E642" s="4"/>
      <c r="F642" s="2"/>
      <c r="G642" s="2"/>
      <c r="H642" s="5" t="e">
        <f t="shared" si="31"/>
        <v>#VALUE!</v>
      </c>
      <c r="I642" s="5" t="e">
        <f t="shared" si="32"/>
        <v>#VALUE!</v>
      </c>
      <c r="J642" s="5">
        <f>ROUNDDOWN(INDEX(ログ!S:S,$F$11+ROW(A641)-1) * $F$8,0)</f>
        <v>0</v>
      </c>
    </row>
    <row r="643" spans="1:10">
      <c r="A643">
        <f>INDEX(ログ!A:A,$F$11+ROW(A642)-1)</f>
        <v>0</v>
      </c>
      <c r="B643" s="6">
        <f>INDEX(ログ!N:N,$F$11+ROW(A642)-1)*$G$5</f>
        <v>0</v>
      </c>
      <c r="C643" s="6" t="e">
        <f t="shared" si="30"/>
        <v>#VALUE!</v>
      </c>
      <c r="D643" s="6" t="e">
        <f>SUBSTITUTE(INDEX(ログ!P:P,$F$11+ROW(A642)-1),":","")*$G$5</f>
        <v>#VALUE!</v>
      </c>
      <c r="E643" s="4"/>
      <c r="F643" s="2"/>
      <c r="G643" s="2"/>
      <c r="H643" s="5" t="e">
        <f t="shared" si="31"/>
        <v>#VALUE!</v>
      </c>
      <c r="I643" s="5" t="e">
        <f t="shared" si="32"/>
        <v>#VALUE!</v>
      </c>
      <c r="J643" s="5">
        <f>ROUNDDOWN(INDEX(ログ!S:S,$F$11+ROW(A642)-1) * $F$8,0)</f>
        <v>0</v>
      </c>
    </row>
    <row r="644" spans="1:10">
      <c r="A644">
        <f>INDEX(ログ!A:A,$F$11+ROW(A643)-1)</f>
        <v>0</v>
      </c>
      <c r="B644" s="6">
        <f>INDEX(ログ!N:N,$F$11+ROW(A643)-1)*$G$5</f>
        <v>0</v>
      </c>
      <c r="C644" s="6" t="e">
        <f t="shared" si="30"/>
        <v>#VALUE!</v>
      </c>
      <c r="D644" s="6" t="e">
        <f>SUBSTITUTE(INDEX(ログ!P:P,$F$11+ROW(A643)-1),":","")*$G$5</f>
        <v>#VALUE!</v>
      </c>
      <c r="E644" s="4"/>
      <c r="F644" s="2"/>
      <c r="G644" s="2"/>
      <c r="H644" s="5" t="e">
        <f t="shared" si="31"/>
        <v>#VALUE!</v>
      </c>
      <c r="I644" s="5" t="e">
        <f t="shared" si="32"/>
        <v>#VALUE!</v>
      </c>
      <c r="J644" s="5">
        <f>ROUNDDOWN(INDEX(ログ!S:S,$F$11+ROW(A643)-1) * $F$8,0)</f>
        <v>0</v>
      </c>
    </row>
    <row r="645" spans="1:10">
      <c r="A645">
        <f>INDEX(ログ!A:A,$F$11+ROW(A644)-1)</f>
        <v>0</v>
      </c>
      <c r="B645" s="6">
        <f>INDEX(ログ!N:N,$F$11+ROW(A644)-1)*$G$5</f>
        <v>0</v>
      </c>
      <c r="C645" s="6" t="e">
        <f t="shared" ref="C645:C669" si="33">(B645+D645)/2</f>
        <v>#VALUE!</v>
      </c>
      <c r="D645" s="6" t="e">
        <f>SUBSTITUTE(INDEX(ログ!P:P,$F$11+ROW(A644)-1),":","")*$G$5</f>
        <v>#VALUE!</v>
      </c>
      <c r="E645" s="4"/>
      <c r="F645" s="2"/>
      <c r="G645" s="2"/>
      <c r="H645" s="5" t="e">
        <f t="shared" si="31"/>
        <v>#VALUE!</v>
      </c>
      <c r="I645" s="5" t="e">
        <f t="shared" si="32"/>
        <v>#VALUE!</v>
      </c>
      <c r="J645" s="5">
        <f>ROUNDDOWN(INDEX(ログ!S:S,$F$11+ROW(A644)-1) * $F$8,0)</f>
        <v>0</v>
      </c>
    </row>
    <row r="646" spans="1:10">
      <c r="A646">
        <f>INDEX(ログ!A:A,$F$11+ROW(A645)-1)</f>
        <v>0</v>
      </c>
      <c r="B646" s="6">
        <f>INDEX(ログ!N:N,$F$11+ROW(A645)-1)*$G$5</f>
        <v>0</v>
      </c>
      <c r="C646" s="6" t="e">
        <f t="shared" si="33"/>
        <v>#VALUE!</v>
      </c>
      <c r="D646" s="6" t="e">
        <f>SUBSTITUTE(INDEX(ログ!P:P,$F$11+ROW(A645)-1),":","")*$G$5</f>
        <v>#VALUE!</v>
      </c>
      <c r="E646" s="4"/>
      <c r="F646" s="2"/>
      <c r="G646" s="2"/>
      <c r="H646" s="5" t="e">
        <f t="shared" si="31"/>
        <v>#VALUE!</v>
      </c>
      <c r="I646" s="5" t="e">
        <f t="shared" si="32"/>
        <v>#VALUE!</v>
      </c>
      <c r="J646" s="5">
        <f>ROUNDDOWN(INDEX(ログ!S:S,$F$11+ROW(A645)-1) * $F$8,0)</f>
        <v>0</v>
      </c>
    </row>
    <row r="647" spans="1:10">
      <c r="A647">
        <f>INDEX(ログ!A:A,$F$11+ROW(A646)-1)</f>
        <v>0</v>
      </c>
      <c r="B647" s="6">
        <f>INDEX(ログ!N:N,$F$11+ROW(A646)-1)*$G$5</f>
        <v>0</v>
      </c>
      <c r="C647" s="6" t="e">
        <f t="shared" si="33"/>
        <v>#VALUE!</v>
      </c>
      <c r="D647" s="6" t="e">
        <f>SUBSTITUTE(INDEX(ログ!P:P,$F$11+ROW(A646)-1),":","")*$G$5</f>
        <v>#VALUE!</v>
      </c>
      <c r="E647" s="4"/>
      <c r="F647" s="2"/>
      <c r="G647" s="2"/>
      <c r="H647" s="5" t="e">
        <f t="shared" si="31"/>
        <v>#VALUE!</v>
      </c>
      <c r="I647" s="5" t="e">
        <f t="shared" si="32"/>
        <v>#VALUE!</v>
      </c>
      <c r="J647" s="5">
        <f>ROUNDDOWN(INDEX(ログ!S:S,$F$11+ROW(A646)-1) * $F$8,0)</f>
        <v>0</v>
      </c>
    </row>
    <row r="648" spans="1:10">
      <c r="A648">
        <f>INDEX(ログ!A:A,$F$11+ROW(A647)-1)</f>
        <v>0</v>
      </c>
      <c r="B648" s="6">
        <f>INDEX(ログ!N:N,$F$11+ROW(A647)-1)*$G$5</f>
        <v>0</v>
      </c>
      <c r="C648" s="6" t="e">
        <f t="shared" si="33"/>
        <v>#VALUE!</v>
      </c>
      <c r="D648" s="6" t="e">
        <f>SUBSTITUTE(INDEX(ログ!P:P,$F$11+ROW(A647)-1),":","")*$G$5</f>
        <v>#VALUE!</v>
      </c>
      <c r="E648" s="4"/>
      <c r="F648" s="2"/>
      <c r="G648" s="2"/>
      <c r="H648" s="5" t="e">
        <f t="shared" si="31"/>
        <v>#VALUE!</v>
      </c>
      <c r="I648" s="5" t="e">
        <f t="shared" si="32"/>
        <v>#VALUE!</v>
      </c>
      <c r="J648" s="5">
        <f>ROUNDDOWN(INDEX(ログ!S:S,$F$11+ROW(A647)-1) * $F$8,0)</f>
        <v>0</v>
      </c>
    </row>
    <row r="649" spans="1:10">
      <c r="A649">
        <f>INDEX(ログ!A:A,$F$11+ROW(A648)-1)</f>
        <v>0</v>
      </c>
      <c r="B649" s="6">
        <f>INDEX(ログ!N:N,$F$11+ROW(A648)-1)*$G$5</f>
        <v>0</v>
      </c>
      <c r="C649" s="6" t="e">
        <f t="shared" si="33"/>
        <v>#VALUE!</v>
      </c>
      <c r="D649" s="6" t="e">
        <f>SUBSTITUTE(INDEX(ログ!P:P,$F$11+ROW(A648)-1),":","")*$G$5</f>
        <v>#VALUE!</v>
      </c>
      <c r="E649" s="4"/>
      <c r="F649" s="2"/>
      <c r="G649" s="2"/>
      <c r="H649" s="5" t="e">
        <f t="shared" si="31"/>
        <v>#VALUE!</v>
      </c>
      <c r="I649" s="5" t="e">
        <f t="shared" si="32"/>
        <v>#VALUE!</v>
      </c>
      <c r="J649" s="5">
        <f>ROUNDDOWN(INDEX(ログ!S:S,$F$11+ROW(A648)-1) * $F$8,0)</f>
        <v>0</v>
      </c>
    </row>
    <row r="650" spans="1:10">
      <c r="A650">
        <f>INDEX(ログ!A:A,$F$11+ROW(A649)-1)</f>
        <v>0</v>
      </c>
      <c r="B650" s="6">
        <f>INDEX(ログ!N:N,$F$11+ROW(A649)-1)*$G$5</f>
        <v>0</v>
      </c>
      <c r="C650" s="6" t="e">
        <f t="shared" si="33"/>
        <v>#VALUE!</v>
      </c>
      <c r="D650" s="6" t="e">
        <f>SUBSTITUTE(INDEX(ログ!P:P,$F$11+ROW(A649)-1),":","")*$G$5</f>
        <v>#VALUE!</v>
      </c>
      <c r="E650" s="4"/>
      <c r="F650" s="2"/>
      <c r="G650" s="2"/>
      <c r="H650" s="5" t="e">
        <f t="shared" si="31"/>
        <v>#VALUE!</v>
      </c>
      <c r="I650" s="5" t="e">
        <f t="shared" si="32"/>
        <v>#VALUE!</v>
      </c>
      <c r="J650" s="5">
        <f>ROUNDDOWN(INDEX(ログ!S:S,$F$11+ROW(A649)-1) * $F$8,0)</f>
        <v>0</v>
      </c>
    </row>
    <row r="651" spans="1:10">
      <c r="A651">
        <f>INDEX(ログ!A:A,$F$11+ROW(A650)-1)</f>
        <v>0</v>
      </c>
      <c r="B651" s="6">
        <f>INDEX(ログ!N:N,$F$11+ROW(A650)-1)*$G$5</f>
        <v>0</v>
      </c>
      <c r="C651" s="6" t="e">
        <f t="shared" si="33"/>
        <v>#VALUE!</v>
      </c>
      <c r="D651" s="6" t="e">
        <f>SUBSTITUTE(INDEX(ログ!P:P,$F$11+ROW(A650)-1),":","")*$G$5</f>
        <v>#VALUE!</v>
      </c>
      <c r="E651" s="4"/>
      <c r="F651" s="2"/>
      <c r="G651" s="2"/>
      <c r="H651" s="5" t="e">
        <f t="shared" si="31"/>
        <v>#VALUE!</v>
      </c>
      <c r="I651" s="5" t="e">
        <f t="shared" si="32"/>
        <v>#VALUE!</v>
      </c>
      <c r="J651" s="5">
        <f>ROUNDDOWN(INDEX(ログ!S:S,$F$11+ROW(A650)-1) * $F$8,0)</f>
        <v>0</v>
      </c>
    </row>
    <row r="652" spans="1:10">
      <c r="A652">
        <f>INDEX(ログ!A:A,$F$11+ROW(A651)-1)</f>
        <v>0</v>
      </c>
      <c r="B652" s="6">
        <f>INDEX(ログ!N:N,$F$11+ROW(A651)-1)*$G$5</f>
        <v>0</v>
      </c>
      <c r="C652" s="6" t="e">
        <f t="shared" si="33"/>
        <v>#VALUE!</v>
      </c>
      <c r="D652" s="6" t="e">
        <f>SUBSTITUTE(INDEX(ログ!P:P,$F$11+ROW(A651)-1),":","")*$G$5</f>
        <v>#VALUE!</v>
      </c>
      <c r="E652" s="4"/>
      <c r="F652" s="2"/>
      <c r="G652" s="2"/>
      <c r="H652" s="5" t="e">
        <f t="shared" si="31"/>
        <v>#VALUE!</v>
      </c>
      <c r="I652" s="5" t="e">
        <f t="shared" si="32"/>
        <v>#VALUE!</v>
      </c>
      <c r="J652" s="5">
        <f>ROUNDDOWN(INDEX(ログ!S:S,$F$11+ROW(A651)-1) * $F$8,0)</f>
        <v>0</v>
      </c>
    </row>
    <row r="653" spans="1:10">
      <c r="A653">
        <f>INDEX(ログ!A:A,$F$11+ROW(A652)-1)</f>
        <v>0</v>
      </c>
      <c r="B653" s="6">
        <f>INDEX(ログ!N:N,$F$11+ROW(A652)-1)*$G$5</f>
        <v>0</v>
      </c>
      <c r="C653" s="6" t="e">
        <f t="shared" si="33"/>
        <v>#VALUE!</v>
      </c>
      <c r="D653" s="6" t="e">
        <f>SUBSTITUTE(INDEX(ログ!P:P,$F$11+ROW(A652)-1),":","")*$G$5</f>
        <v>#VALUE!</v>
      </c>
      <c r="E653" s="4"/>
      <c r="F653" s="2"/>
      <c r="G653" s="2"/>
      <c r="H653" s="5" t="e">
        <f t="shared" si="31"/>
        <v>#VALUE!</v>
      </c>
      <c r="I653" s="5" t="e">
        <f t="shared" si="32"/>
        <v>#VALUE!</v>
      </c>
      <c r="J653" s="5">
        <f>ROUNDDOWN(INDEX(ログ!S:S,$F$11+ROW(A652)-1) * $F$8,0)</f>
        <v>0</v>
      </c>
    </row>
    <row r="654" spans="1:10">
      <c r="A654">
        <f>INDEX(ログ!A:A,$F$11+ROW(A653)-1)</f>
        <v>0</v>
      </c>
      <c r="B654" s="6">
        <f>INDEX(ログ!N:N,$F$11+ROW(A653)-1)*$G$5</f>
        <v>0</v>
      </c>
      <c r="C654" s="6" t="e">
        <f t="shared" si="33"/>
        <v>#VALUE!</v>
      </c>
      <c r="D654" s="6" t="e">
        <f>SUBSTITUTE(INDEX(ログ!P:P,$F$11+ROW(A653)-1),":","")*$G$5</f>
        <v>#VALUE!</v>
      </c>
      <c r="E654" s="4"/>
      <c r="F654" s="2"/>
      <c r="G654" s="2"/>
      <c r="H654" s="5" t="e">
        <f t="shared" si="31"/>
        <v>#VALUE!</v>
      </c>
      <c r="I654" s="5" t="e">
        <f t="shared" si="32"/>
        <v>#VALUE!</v>
      </c>
      <c r="J654" s="5">
        <f>ROUNDDOWN(INDEX(ログ!S:S,$F$11+ROW(A653)-1) * $F$8,0)</f>
        <v>0</v>
      </c>
    </row>
    <row r="655" spans="1:10">
      <c r="A655">
        <f>INDEX(ログ!A:A,$F$11+ROW(A654)-1)</f>
        <v>0</v>
      </c>
      <c r="B655" s="6">
        <f>INDEX(ログ!N:N,$F$11+ROW(A654)-1)*$G$5</f>
        <v>0</v>
      </c>
      <c r="C655" s="6" t="e">
        <f t="shared" si="33"/>
        <v>#VALUE!</v>
      </c>
      <c r="D655" s="6" t="e">
        <f>SUBSTITUTE(INDEX(ログ!P:P,$F$11+ROW(A654)-1),":","")*$G$5</f>
        <v>#VALUE!</v>
      </c>
      <c r="E655" s="4"/>
      <c r="F655" s="2"/>
      <c r="G655" s="2"/>
      <c r="H655" s="5" t="e">
        <f t="shared" si="31"/>
        <v>#VALUE!</v>
      </c>
      <c r="I655" s="5" t="e">
        <f t="shared" si="32"/>
        <v>#VALUE!</v>
      </c>
      <c r="J655" s="5">
        <f>ROUNDDOWN(INDEX(ログ!S:S,$F$11+ROW(A654)-1) * $F$8,0)</f>
        <v>0</v>
      </c>
    </row>
    <row r="656" spans="1:10">
      <c r="A656">
        <f>INDEX(ログ!A:A,$F$11+ROW(A655)-1)</f>
        <v>0</v>
      </c>
      <c r="B656" s="6">
        <f>INDEX(ログ!N:N,$F$11+ROW(A655)-1)*$G$5</f>
        <v>0</v>
      </c>
      <c r="C656" s="6" t="e">
        <f t="shared" si="33"/>
        <v>#VALUE!</v>
      </c>
      <c r="D656" s="6" t="e">
        <f>SUBSTITUTE(INDEX(ログ!P:P,$F$11+ROW(A655)-1),":","")*$G$5</f>
        <v>#VALUE!</v>
      </c>
      <c r="E656" s="4"/>
      <c r="F656" s="2"/>
      <c r="G656" s="2"/>
      <c r="H656" s="5" t="e">
        <f t="shared" si="31"/>
        <v>#VALUE!</v>
      </c>
      <c r="I656" s="5" t="e">
        <f t="shared" si="32"/>
        <v>#VALUE!</v>
      </c>
      <c r="J656" s="5">
        <f>ROUNDDOWN(INDEX(ログ!S:S,$F$11+ROW(A655)-1) * $F$8,0)</f>
        <v>0</v>
      </c>
    </row>
    <row r="657" spans="1:10">
      <c r="A657">
        <f>INDEX(ログ!A:A,$F$11+ROW(A656)-1)</f>
        <v>0</v>
      </c>
      <c r="B657" s="6">
        <f>INDEX(ログ!N:N,$F$11+ROW(A656)-1)*$G$5</f>
        <v>0</v>
      </c>
      <c r="C657" s="6" t="e">
        <f t="shared" si="33"/>
        <v>#VALUE!</v>
      </c>
      <c r="D657" s="6" t="e">
        <f>SUBSTITUTE(INDEX(ログ!P:P,$F$11+ROW(A656)-1),":","")*$G$5</f>
        <v>#VALUE!</v>
      </c>
      <c r="E657" s="4"/>
      <c r="F657" s="2"/>
      <c r="G657" s="2"/>
      <c r="H657" s="5" t="e">
        <f t="shared" si="31"/>
        <v>#VALUE!</v>
      </c>
      <c r="I657" s="5" t="e">
        <f t="shared" si="32"/>
        <v>#VALUE!</v>
      </c>
      <c r="J657" s="5">
        <f>ROUNDDOWN(INDEX(ログ!S:S,$F$11+ROW(A656)-1) * $F$8,0)</f>
        <v>0</v>
      </c>
    </row>
    <row r="658" spans="1:10">
      <c r="A658">
        <f>INDEX(ログ!A:A,$F$11+ROW(A657)-1)</f>
        <v>0</v>
      </c>
      <c r="B658" s="6">
        <f>INDEX(ログ!N:N,$F$11+ROW(A657)-1)*$G$5</f>
        <v>0</v>
      </c>
      <c r="C658" s="6" t="e">
        <f t="shared" si="33"/>
        <v>#VALUE!</v>
      </c>
      <c r="D658" s="6" t="e">
        <f>SUBSTITUTE(INDEX(ログ!P:P,$F$11+ROW(A657)-1),":","")*$G$5</f>
        <v>#VALUE!</v>
      </c>
      <c r="E658" s="4"/>
      <c r="F658" s="2"/>
      <c r="G658" s="2"/>
      <c r="H658" s="5" t="e">
        <f t="shared" si="31"/>
        <v>#VALUE!</v>
      </c>
      <c r="I658" s="5" t="e">
        <f t="shared" si="32"/>
        <v>#VALUE!</v>
      </c>
      <c r="J658" s="5">
        <f>ROUNDDOWN(INDEX(ログ!S:S,$F$11+ROW(A657)-1) * $F$8,0)</f>
        <v>0</v>
      </c>
    </row>
    <row r="659" spans="1:10">
      <c r="A659">
        <f>INDEX(ログ!A:A,$F$11+ROW(A658)-1)</f>
        <v>0</v>
      </c>
      <c r="B659" s="6">
        <f>INDEX(ログ!N:N,$F$11+ROW(A658)-1)*$G$5</f>
        <v>0</v>
      </c>
      <c r="C659" s="6" t="e">
        <f t="shared" si="33"/>
        <v>#VALUE!</v>
      </c>
      <c r="D659" s="6" t="e">
        <f>SUBSTITUTE(INDEX(ログ!P:P,$F$11+ROW(A658)-1),":","")*$G$5</f>
        <v>#VALUE!</v>
      </c>
      <c r="E659" s="4"/>
      <c r="F659" s="2"/>
      <c r="G659" s="2"/>
      <c r="H659" s="5" t="e">
        <f t="shared" si="31"/>
        <v>#VALUE!</v>
      </c>
      <c r="I659" s="5" t="e">
        <f t="shared" si="32"/>
        <v>#VALUE!</v>
      </c>
      <c r="J659" s="5">
        <f>ROUNDDOWN(INDEX(ログ!S:S,$F$11+ROW(A658)-1) * $F$8,0)</f>
        <v>0</v>
      </c>
    </row>
    <row r="660" spans="1:10">
      <c r="A660">
        <f>INDEX(ログ!A:A,$F$11+ROW(A659)-1)</f>
        <v>0</v>
      </c>
      <c r="B660" s="6">
        <f>INDEX(ログ!N:N,$F$11+ROW(A659)-1)*$G$5</f>
        <v>0</v>
      </c>
      <c r="C660" s="6" t="e">
        <f t="shared" si="33"/>
        <v>#VALUE!</v>
      </c>
      <c r="D660" s="6" t="e">
        <f>SUBSTITUTE(INDEX(ログ!P:P,$F$11+ROW(A659)-1),":","")*$G$5</f>
        <v>#VALUE!</v>
      </c>
      <c r="E660" s="4"/>
      <c r="F660" s="2"/>
      <c r="G660" s="2"/>
      <c r="H660" s="5" t="e">
        <f t="shared" si="31"/>
        <v>#VALUE!</v>
      </c>
      <c r="I660" s="5" t="e">
        <f t="shared" si="32"/>
        <v>#VALUE!</v>
      </c>
      <c r="J660" s="5">
        <f>ROUNDDOWN(INDEX(ログ!S:S,$F$11+ROW(A659)-1) * $F$8,0)</f>
        <v>0</v>
      </c>
    </row>
    <row r="661" spans="1:10">
      <c r="A661">
        <f>INDEX(ログ!A:A,$F$11+ROW(A660)-1)</f>
        <v>0</v>
      </c>
      <c r="B661" s="6">
        <f>INDEX(ログ!N:N,$F$11+ROW(A660)-1)*$G$5</f>
        <v>0</v>
      </c>
      <c r="C661" s="6" t="e">
        <f t="shared" si="33"/>
        <v>#VALUE!</v>
      </c>
      <c r="D661" s="6" t="e">
        <f>SUBSTITUTE(INDEX(ログ!P:P,$F$11+ROW(A660)-1),":","")*$G$5</f>
        <v>#VALUE!</v>
      </c>
      <c r="E661" s="4"/>
      <c r="F661" s="2"/>
      <c r="G661" s="2"/>
      <c r="H661" s="5" t="e">
        <f t="shared" si="31"/>
        <v>#VALUE!</v>
      </c>
      <c r="I661" s="5" t="e">
        <f t="shared" si="32"/>
        <v>#VALUE!</v>
      </c>
      <c r="J661" s="5">
        <f>ROUNDDOWN(INDEX(ログ!S:S,$F$11+ROW(A660)-1) * $F$8,0)</f>
        <v>0</v>
      </c>
    </row>
    <row r="662" spans="1:10">
      <c r="A662">
        <f>INDEX(ログ!A:A,$F$11+ROW(A661)-1)</f>
        <v>0</v>
      </c>
      <c r="B662" s="6">
        <f>INDEX(ログ!N:N,$F$11+ROW(A661)-1)*$G$5</f>
        <v>0</v>
      </c>
      <c r="C662" s="6" t="e">
        <f t="shared" si="33"/>
        <v>#VALUE!</v>
      </c>
      <c r="D662" s="6" t="e">
        <f>SUBSTITUTE(INDEX(ログ!P:P,$F$11+ROW(A661)-1),":","")*$G$5</f>
        <v>#VALUE!</v>
      </c>
      <c r="E662" s="4"/>
      <c r="F662" s="2"/>
      <c r="G662" s="2"/>
      <c r="H662" s="5" t="e">
        <f t="shared" si="31"/>
        <v>#VALUE!</v>
      </c>
      <c r="I662" s="5" t="e">
        <f t="shared" si="32"/>
        <v>#VALUE!</v>
      </c>
      <c r="J662" s="5">
        <f>ROUNDDOWN(INDEX(ログ!S:S,$F$11+ROW(A661)-1) * $F$8,0)</f>
        <v>0</v>
      </c>
    </row>
    <row r="663" spans="1:10">
      <c r="A663">
        <f>INDEX(ログ!A:A,$F$11+ROW(A662)-1)</f>
        <v>0</v>
      </c>
      <c r="B663" s="6">
        <f>INDEX(ログ!N:N,$F$11+ROW(A662)-1)*$G$5</f>
        <v>0</v>
      </c>
      <c r="C663" s="6" t="e">
        <f t="shared" si="33"/>
        <v>#VALUE!</v>
      </c>
      <c r="D663" s="6" t="e">
        <f>SUBSTITUTE(INDEX(ログ!P:P,$F$11+ROW(A662)-1),":","")*$G$5</f>
        <v>#VALUE!</v>
      </c>
      <c r="E663" s="4"/>
      <c r="F663" s="2"/>
      <c r="G663" s="2"/>
      <c r="H663" s="5" t="e">
        <f t="shared" si="31"/>
        <v>#VALUE!</v>
      </c>
      <c r="I663" s="5" t="e">
        <f t="shared" si="32"/>
        <v>#VALUE!</v>
      </c>
      <c r="J663" s="5">
        <f>ROUNDDOWN(INDEX(ログ!S:S,$F$11+ROW(A662)-1) * $F$8,0)</f>
        <v>0</v>
      </c>
    </row>
    <row r="664" spans="1:10">
      <c r="A664">
        <f>INDEX(ログ!A:A,$F$11+ROW(A663)-1)</f>
        <v>0</v>
      </c>
      <c r="B664" s="6">
        <f>INDEX(ログ!N:N,$F$11+ROW(A663)-1)*$G$5</f>
        <v>0</v>
      </c>
      <c r="C664" s="6" t="e">
        <f t="shared" si="33"/>
        <v>#VALUE!</v>
      </c>
      <c r="D664" s="6" t="e">
        <f>SUBSTITUTE(INDEX(ログ!P:P,$F$11+ROW(A663)-1),":","")*$G$5</f>
        <v>#VALUE!</v>
      </c>
      <c r="E664" s="4"/>
      <c r="F664" s="2"/>
      <c r="G664" s="2"/>
      <c r="H664" s="5" t="e">
        <f t="shared" si="31"/>
        <v>#VALUE!</v>
      </c>
      <c r="I664" s="5" t="e">
        <f t="shared" si="32"/>
        <v>#VALUE!</v>
      </c>
      <c r="J664" s="5">
        <f>ROUNDDOWN(INDEX(ログ!S:S,$F$11+ROW(A663)-1) * $F$8,0)</f>
        <v>0</v>
      </c>
    </row>
    <row r="665" spans="1:10">
      <c r="A665">
        <f>INDEX(ログ!A:A,$F$11+ROW(A664)-1)</f>
        <v>0</v>
      </c>
      <c r="B665" s="6">
        <f>INDEX(ログ!N:N,$F$11+ROW(A664)-1)*$G$5</f>
        <v>0</v>
      </c>
      <c r="C665" s="6" t="e">
        <f t="shared" si="33"/>
        <v>#VALUE!</v>
      </c>
      <c r="D665" s="6" t="e">
        <f>SUBSTITUTE(INDEX(ログ!P:P,$F$11+ROW(A664)-1),":","")*$G$5</f>
        <v>#VALUE!</v>
      </c>
      <c r="E665" s="4"/>
      <c r="F665" s="2"/>
      <c r="G665" s="2"/>
      <c r="H665" s="5" t="e">
        <f t="shared" si="31"/>
        <v>#VALUE!</v>
      </c>
      <c r="I665" s="5" t="e">
        <f t="shared" si="32"/>
        <v>#VALUE!</v>
      </c>
      <c r="J665" s="5">
        <f>ROUNDDOWN(INDEX(ログ!S:S,$F$11+ROW(A664)-1) * $F$8,0)</f>
        <v>0</v>
      </c>
    </row>
    <row r="666" spans="1:10">
      <c r="A666">
        <f>INDEX(ログ!A:A,$F$11+ROW(A665)-1)</f>
        <v>0</v>
      </c>
      <c r="B666" s="6">
        <f>INDEX(ログ!N:N,$F$11+ROW(A665)-1)*$G$5</f>
        <v>0</v>
      </c>
      <c r="C666" s="6" t="e">
        <f t="shared" si="33"/>
        <v>#VALUE!</v>
      </c>
      <c r="D666" s="6" t="e">
        <f>SUBSTITUTE(INDEX(ログ!P:P,$F$11+ROW(A665)-1),":","")*$G$5</f>
        <v>#VALUE!</v>
      </c>
      <c r="E666" s="4"/>
      <c r="F666" s="2"/>
      <c r="G666" s="2"/>
      <c r="H666" s="5" t="e">
        <f t="shared" si="31"/>
        <v>#VALUE!</v>
      </c>
      <c r="I666" s="5" t="e">
        <f t="shared" si="32"/>
        <v>#VALUE!</v>
      </c>
      <c r="J666" s="5">
        <f>ROUNDDOWN(INDEX(ログ!S:S,$F$11+ROW(A665)-1) * $F$8,0)</f>
        <v>0</v>
      </c>
    </row>
    <row r="667" spans="1:10">
      <c r="A667">
        <f>INDEX(ログ!A:A,$F$11+ROW(A666)-1)</f>
        <v>0</v>
      </c>
      <c r="B667" s="6">
        <f>INDEX(ログ!N:N,$F$11+ROW(A666)-1)*$G$5</f>
        <v>0</v>
      </c>
      <c r="C667" s="6" t="e">
        <f t="shared" si="33"/>
        <v>#VALUE!</v>
      </c>
      <c r="D667" s="6" t="e">
        <f>SUBSTITUTE(INDEX(ログ!P:P,$F$11+ROW(A666)-1),":","")*$G$5</f>
        <v>#VALUE!</v>
      </c>
      <c r="E667" s="4"/>
      <c r="F667" s="2"/>
      <c r="G667" s="2"/>
      <c r="H667" s="5" t="e">
        <f t="shared" si="31"/>
        <v>#VALUE!</v>
      </c>
      <c r="I667" s="5" t="e">
        <f t="shared" si="32"/>
        <v>#VALUE!</v>
      </c>
      <c r="J667" s="5">
        <f>ROUNDDOWN(INDEX(ログ!S:S,$F$11+ROW(A666)-1) * $F$8,0)</f>
        <v>0</v>
      </c>
    </row>
    <row r="668" spans="1:10">
      <c r="A668">
        <f>INDEX(ログ!A:A,$F$11+ROW(A667)-1)</f>
        <v>0</v>
      </c>
      <c r="B668" s="6">
        <f>INDEX(ログ!N:N,$F$11+ROW(A667)-1)*$G$5</f>
        <v>0</v>
      </c>
      <c r="C668" s="6" t="e">
        <f t="shared" si="33"/>
        <v>#VALUE!</v>
      </c>
      <c r="D668" s="6" t="e">
        <f>SUBSTITUTE(INDEX(ログ!P:P,$F$11+ROW(A667)-1),":","")*$G$5</f>
        <v>#VALUE!</v>
      </c>
      <c r="E668" s="4"/>
      <c r="F668" s="2"/>
      <c r="G668" s="2"/>
      <c r="H668" s="5" t="e">
        <f t="shared" si="31"/>
        <v>#VALUE!</v>
      </c>
      <c r="I668" s="5" t="e">
        <f t="shared" si="32"/>
        <v>#VALUE!</v>
      </c>
      <c r="J668" s="5">
        <f>ROUNDDOWN(INDEX(ログ!S:S,$F$11+ROW(A667)-1) * $F$8,0)</f>
        <v>0</v>
      </c>
    </row>
    <row r="669" spans="1:10">
      <c r="A669">
        <f>INDEX(ログ!A:A,$F$11+ROW(A668)-1)</f>
        <v>0</v>
      </c>
      <c r="B669" s="6">
        <f>INDEX(ログ!N:N,$F$11+ROW(A668)-1)*$G$5</f>
        <v>0</v>
      </c>
      <c r="C669" s="6" t="e">
        <f t="shared" si="33"/>
        <v>#VALUE!</v>
      </c>
      <c r="D669" s="6" t="e">
        <f>SUBSTITUTE(INDEX(ログ!P:P,$F$11+ROW(A668)-1),":","")*$G$5</f>
        <v>#VALUE!</v>
      </c>
      <c r="E669" s="4"/>
      <c r="F669" s="2"/>
      <c r="G669" s="2"/>
      <c r="H669" s="5" t="e">
        <f t="shared" si="31"/>
        <v>#VALUE!</v>
      </c>
      <c r="I669" s="5" t="e">
        <f t="shared" si="32"/>
        <v>#VALUE!</v>
      </c>
      <c r="J669" s="5">
        <f>ROUNDDOWN(INDEX(ログ!S:S,$F$11+ROW(A668)-1) * $F$8,0)</f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ログ</vt:lpstr>
      <vt:lpstr>経路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masato</dc:creator>
  <cp:lastModifiedBy>将人 平田</cp:lastModifiedBy>
  <dcterms:created xsi:type="dcterms:W3CDTF">2015-06-05T18:19:34Z</dcterms:created>
  <dcterms:modified xsi:type="dcterms:W3CDTF">2026-07-04T11:59:37Z</dcterms:modified>
</cp:coreProperties>
</file>